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Ste-Marie Automobiles - Contrôleurs\1- Dossier de fin de mois\a) Réalisé\2026\"/>
    </mc:Choice>
  </mc:AlternateContent>
  <xr:revisionPtr revIDLastSave="0" documentId="13_ncr:1_{70009CB3-7BD1-42E5-9EC9-9490C3DB9F88}" xr6:coauthVersionLast="47" xr6:coauthVersionMax="47" xr10:uidLastSave="{00000000-0000-0000-0000-000000000000}"/>
  <bookViews>
    <workbookView xWindow="-120" yWindow="-120" windowWidth="29040" windowHeight="15720" activeTab="1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Conso!$C$1:$S$486,Conso!$V$489:$AO$585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584" i="6" l="1"/>
  <c r="AO583" i="6"/>
  <c r="AI583" i="6"/>
  <c r="A583" i="6"/>
  <c r="AO582" i="6"/>
  <c r="AO581" i="6"/>
  <c r="AN581" i="6"/>
  <c r="AI581" i="6"/>
  <c r="AO580" i="6"/>
  <c r="AR580" i="6"/>
  <c r="AO579" i="6"/>
  <c r="AN579" i="6"/>
  <c r="AI579" i="6"/>
  <c r="AI578" i="6"/>
  <c r="AN578" i="6"/>
  <c r="AO578" i="6" s="1"/>
  <c r="AH578" i="6"/>
  <c r="AO567" i="6"/>
  <c r="AO566" i="6"/>
  <c r="AO565" i="6"/>
  <c r="AO564" i="6"/>
  <c r="AO563" i="6"/>
  <c r="AO562" i="6"/>
  <c r="AO561" i="6"/>
  <c r="AO560" i="6"/>
  <c r="AO559" i="6"/>
  <c r="AO557" i="6"/>
  <c r="AN556" i="6"/>
  <c r="AO556" i="6" s="1"/>
  <c r="AH554" i="6"/>
  <c r="AO552" i="6"/>
  <c r="AO551" i="6"/>
  <c r="AO550" i="6"/>
  <c r="AO549" i="6"/>
  <c r="AN549" i="6"/>
  <c r="AN548" i="6"/>
  <c r="AO548" i="6" s="1"/>
  <c r="AI548" i="6"/>
  <c r="AH548" i="6"/>
  <c r="AN547" i="6"/>
  <c r="AO547" i="6"/>
  <c r="AI547" i="6"/>
  <c r="AI546" i="6"/>
  <c r="AN545" i="6"/>
  <c r="AO545" i="6"/>
  <c r="AI545" i="6"/>
  <c r="AH545" i="6"/>
  <c r="AN544" i="6"/>
  <c r="AO544" i="6"/>
  <c r="AI544" i="6"/>
  <c r="AO543" i="6"/>
  <c r="AI543" i="6"/>
  <c r="AN542" i="6"/>
  <c r="AO542" i="6"/>
  <c r="AI542" i="6"/>
  <c r="AH542" i="6"/>
  <c r="AN541" i="6"/>
  <c r="AO541" i="6"/>
  <c r="AH541" i="6"/>
  <c r="AI541" i="6"/>
  <c r="AL553" i="6"/>
  <c r="AI540" i="6"/>
  <c r="AN533" i="6"/>
  <c r="AO533" i="6" s="1"/>
  <c r="AO529" i="6"/>
  <c r="AO527" i="6"/>
  <c r="AN526" i="6"/>
  <c r="AO526" i="6" s="1"/>
  <c r="AO514" i="6"/>
  <c r="AO513" i="6"/>
  <c r="AO512" i="6"/>
  <c r="AO511" i="6"/>
  <c r="AN507" i="6"/>
  <c r="AO507" i="6" s="1"/>
  <c r="AO504" i="6"/>
  <c r="AO500" i="6"/>
  <c r="S481" i="6"/>
  <c r="S480" i="6"/>
  <c r="S479" i="6"/>
  <c r="S478" i="6"/>
  <c r="S477" i="6"/>
  <c r="S476" i="6"/>
  <c r="S475" i="6"/>
  <c r="S474" i="6"/>
  <c r="S473" i="6"/>
  <c r="S471" i="6"/>
  <c r="S470" i="6"/>
  <c r="S469" i="6"/>
  <c r="S468" i="6"/>
  <c r="S467" i="6"/>
  <c r="F482" i="6"/>
  <c r="E482" i="6" s="1"/>
  <c r="S463" i="6"/>
  <c r="S462" i="6"/>
  <c r="S461" i="6"/>
  <c r="S460" i="6"/>
  <c r="S459" i="6"/>
  <c r="S457" i="6"/>
  <c r="S456" i="6"/>
  <c r="S455" i="6"/>
  <c r="S454" i="6"/>
  <c r="S453" i="6"/>
  <c r="Q464" i="6"/>
  <c r="R448" i="6"/>
  <c r="K448" i="6"/>
  <c r="S446" i="6"/>
  <c r="F444" i="6"/>
  <c r="P445" i="6"/>
  <c r="N443" i="6"/>
  <c r="N444" i="6" s="1"/>
  <c r="S443" i="6"/>
  <c r="M443" i="6"/>
  <c r="K445" i="6"/>
  <c r="S440" i="6"/>
  <c r="R440" i="6"/>
  <c r="P442" i="6"/>
  <c r="K442" i="6"/>
  <c r="N440" i="6"/>
  <c r="K439" i="6"/>
  <c r="R437" i="6"/>
  <c r="Q448" i="6"/>
  <c r="N437" i="6"/>
  <c r="F438" i="6"/>
  <c r="M437" i="6"/>
  <c r="N428" i="6"/>
  <c r="N424" i="6"/>
  <c r="N422" i="6"/>
  <c r="S420" i="6"/>
  <c r="N420" i="6"/>
  <c r="N418" i="6"/>
  <c r="N416" i="6"/>
  <c r="S414" i="6"/>
  <c r="N414" i="6"/>
  <c r="S412" i="6"/>
  <c r="N410" i="6"/>
  <c r="F425" i="6"/>
  <c r="N404" i="6"/>
  <c r="S402" i="6"/>
  <c r="N402" i="6"/>
  <c r="N400" i="6"/>
  <c r="N398" i="6"/>
  <c r="S396" i="6"/>
  <c r="N396" i="6"/>
  <c r="S388" i="6"/>
  <c r="R388" i="6" s="1"/>
  <c r="P388" i="6"/>
  <c r="K388" i="6"/>
  <c r="M388" i="6"/>
  <c r="E388" i="6"/>
  <c r="S384" i="6"/>
  <c r="R384" i="6"/>
  <c r="P384" i="6"/>
  <c r="N384" i="6"/>
  <c r="E384" i="6"/>
  <c r="P383" i="6"/>
  <c r="S383" i="6"/>
  <c r="R383" i="6"/>
  <c r="S379" i="6"/>
  <c r="N379" i="6"/>
  <c r="K379" i="6"/>
  <c r="E379" i="6"/>
  <c r="R378" i="6"/>
  <c r="P378" i="6"/>
  <c r="N378" i="6"/>
  <c r="K378" i="6"/>
  <c r="E378" i="6"/>
  <c r="S377" i="6"/>
  <c r="P377" i="6"/>
  <c r="N377" i="6"/>
  <c r="K377" i="6"/>
  <c r="M377" i="6"/>
  <c r="E377" i="6"/>
  <c r="P376" i="6"/>
  <c r="S376" i="6"/>
  <c r="N376" i="6"/>
  <c r="E376" i="6"/>
  <c r="P375" i="6"/>
  <c r="R375" i="6"/>
  <c r="S375" i="6"/>
  <c r="K375" i="6"/>
  <c r="N375" i="6"/>
  <c r="E375" i="6"/>
  <c r="R374" i="6"/>
  <c r="P374" i="6"/>
  <c r="N374" i="6"/>
  <c r="S373" i="6"/>
  <c r="P373" i="6"/>
  <c r="N373" i="6"/>
  <c r="K373" i="6"/>
  <c r="E373" i="6"/>
  <c r="R372" i="6"/>
  <c r="P372" i="6"/>
  <c r="S372" i="6"/>
  <c r="N372" i="6"/>
  <c r="E372" i="6"/>
  <c r="R371" i="6"/>
  <c r="M371" i="6"/>
  <c r="L380" i="6"/>
  <c r="K371" i="6"/>
  <c r="N364" i="6"/>
  <c r="S359" i="6"/>
  <c r="N359" i="6"/>
  <c r="S357" i="6"/>
  <c r="N357" i="6"/>
  <c r="S355" i="6"/>
  <c r="N355" i="6"/>
  <c r="S353" i="6"/>
  <c r="S351" i="6"/>
  <c r="S349" i="6"/>
  <c r="N349" i="6"/>
  <c r="S348" i="6"/>
  <c r="S346" i="6"/>
  <c r="S344" i="6"/>
  <c r="S341" i="6"/>
  <c r="S339" i="6"/>
  <c r="S337" i="6"/>
  <c r="S335" i="6"/>
  <c r="S333" i="6"/>
  <c r="S331" i="6"/>
  <c r="Q342" i="6"/>
  <c r="F342" i="6"/>
  <c r="P326" i="6"/>
  <c r="E326" i="6"/>
  <c r="R324" i="6"/>
  <c r="S324" i="6"/>
  <c r="Q322" i="6"/>
  <c r="L322" i="6"/>
  <c r="F322" i="6"/>
  <c r="R321" i="6"/>
  <c r="S321" i="6"/>
  <c r="M321" i="6"/>
  <c r="R318" i="6"/>
  <c r="Q319" i="6"/>
  <c r="S318" i="6"/>
  <c r="S319" i="6" s="1"/>
  <c r="K326" i="6"/>
  <c r="R315" i="6"/>
  <c r="N315" i="6"/>
  <c r="N316" i="6" s="1"/>
  <c r="F316" i="6"/>
  <c r="M315" i="6"/>
  <c r="N306" i="6"/>
  <c r="L303" i="6"/>
  <c r="S302" i="6"/>
  <c r="N302" i="6"/>
  <c r="S301" i="6"/>
  <c r="N301" i="6"/>
  <c r="S300" i="6"/>
  <c r="N300" i="6"/>
  <c r="S299" i="6"/>
  <c r="N299" i="6"/>
  <c r="S298" i="6"/>
  <c r="N298" i="6"/>
  <c r="N297" i="6"/>
  <c r="S297" i="6"/>
  <c r="S296" i="6"/>
  <c r="S295" i="6"/>
  <c r="N295" i="6"/>
  <c r="S294" i="6"/>
  <c r="N294" i="6"/>
  <c r="S293" i="6"/>
  <c r="N293" i="6"/>
  <c r="S292" i="6"/>
  <c r="N291" i="6"/>
  <c r="S291" i="6"/>
  <c r="S290" i="6"/>
  <c r="N290" i="6"/>
  <c r="S289" i="6"/>
  <c r="S288" i="6"/>
  <c r="N288" i="6"/>
  <c r="S287" i="6"/>
  <c r="N287" i="6"/>
  <c r="S286" i="6"/>
  <c r="N286" i="6"/>
  <c r="S285" i="6"/>
  <c r="Q303" i="6"/>
  <c r="F303" i="6"/>
  <c r="S283" i="6"/>
  <c r="S282" i="6"/>
  <c r="N282" i="6"/>
  <c r="N281" i="6"/>
  <c r="S281" i="6"/>
  <c r="S280" i="6"/>
  <c r="N280" i="6"/>
  <c r="S279" i="6"/>
  <c r="S278" i="6"/>
  <c r="N278" i="6"/>
  <c r="N277" i="6"/>
  <c r="S277" i="6"/>
  <c r="S276" i="6"/>
  <c r="F284" i="6"/>
  <c r="N275" i="6"/>
  <c r="N274" i="6"/>
  <c r="S274" i="6"/>
  <c r="S273" i="6"/>
  <c r="Q284" i="6"/>
  <c r="N273" i="6"/>
  <c r="N272" i="6"/>
  <c r="Q266" i="6"/>
  <c r="R265" i="6"/>
  <c r="N265" i="6"/>
  <c r="F266" i="6"/>
  <c r="M265" i="6"/>
  <c r="L263" i="6"/>
  <c r="Q263" i="6"/>
  <c r="R262" i="6"/>
  <c r="M262" i="6"/>
  <c r="F263" i="6"/>
  <c r="S258" i="6"/>
  <c r="M256" i="6"/>
  <c r="Q256" i="6"/>
  <c r="R255" i="6"/>
  <c r="S255" i="6"/>
  <c r="K257" i="6"/>
  <c r="F256" i="6"/>
  <c r="M255" i="6"/>
  <c r="K254" i="6"/>
  <c r="F253" i="6"/>
  <c r="P254" i="6"/>
  <c r="R252" i="6"/>
  <c r="L253" i="6"/>
  <c r="N253" i="6" s="1"/>
  <c r="P251" i="6"/>
  <c r="S250" i="6"/>
  <c r="F250" i="6"/>
  <c r="S249" i="6"/>
  <c r="Q250" i="6"/>
  <c r="N249" i="6"/>
  <c r="L250" i="6"/>
  <c r="K251" i="6"/>
  <c r="E251" i="6"/>
  <c r="Q247" i="6"/>
  <c r="S246" i="6"/>
  <c r="S247" i="6" s="1"/>
  <c r="R246" i="6"/>
  <c r="Q259" i="6"/>
  <c r="Q268" i="6" s="1"/>
  <c r="P284" i="6" s="1"/>
  <c r="O259" i="6"/>
  <c r="N246" i="6"/>
  <c r="L259" i="6"/>
  <c r="J259" i="6"/>
  <c r="N236" i="6"/>
  <c r="S235" i="6"/>
  <c r="S234" i="6"/>
  <c r="S233" i="6"/>
  <c r="N233" i="6"/>
  <c r="E233" i="6"/>
  <c r="D233" i="6" s="1"/>
  <c r="S231" i="6"/>
  <c r="Q237" i="6"/>
  <c r="S230" i="6"/>
  <c r="S226" i="6"/>
  <c r="N226" i="6"/>
  <c r="N225" i="6"/>
  <c r="S224" i="6"/>
  <c r="N224" i="6"/>
  <c r="N223" i="6"/>
  <c r="S221" i="6"/>
  <c r="S220" i="6"/>
  <c r="S219" i="6"/>
  <c r="S218" i="6"/>
  <c r="S217" i="6"/>
  <c r="N216" i="6"/>
  <c r="S215" i="6"/>
  <c r="N215" i="6"/>
  <c r="S214" i="6"/>
  <c r="N214" i="6"/>
  <c r="N213" i="6"/>
  <c r="S212" i="6"/>
  <c r="N212" i="6"/>
  <c r="N211" i="6"/>
  <c r="Q227" i="6"/>
  <c r="S208" i="6"/>
  <c r="N207" i="6"/>
  <c r="S206" i="6"/>
  <c r="S205" i="6"/>
  <c r="S204" i="6"/>
  <c r="N204" i="6"/>
  <c r="S203" i="6"/>
  <c r="N203" i="6"/>
  <c r="S202" i="6"/>
  <c r="N202" i="6"/>
  <c r="S201" i="6"/>
  <c r="N201" i="6"/>
  <c r="S200" i="6"/>
  <c r="N200" i="6"/>
  <c r="S199" i="6"/>
  <c r="N199" i="6"/>
  <c r="S198" i="6"/>
  <c r="N198" i="6"/>
  <c r="Q209" i="6"/>
  <c r="N197" i="6"/>
  <c r="L209" i="6"/>
  <c r="S195" i="6"/>
  <c r="S194" i="6"/>
  <c r="S193" i="6"/>
  <c r="T192" i="6"/>
  <c r="S192" i="6"/>
  <c r="N192" i="6"/>
  <c r="N191" i="6"/>
  <c r="S190" i="6"/>
  <c r="N190" i="6"/>
  <c r="S189" i="6"/>
  <c r="S188" i="6"/>
  <c r="N188" i="6"/>
  <c r="N187" i="6"/>
  <c r="D187" i="6"/>
  <c r="L196" i="6"/>
  <c r="D186" i="6"/>
  <c r="U182" i="6"/>
  <c r="Q182" i="6"/>
  <c r="O187" i="6" s="1"/>
  <c r="L182" i="6"/>
  <c r="S182" i="6" s="1"/>
  <c r="F182" i="6"/>
  <c r="N180" i="6"/>
  <c r="P179" i="6"/>
  <c r="V179" i="6"/>
  <c r="K179" i="6"/>
  <c r="A179" i="6"/>
  <c r="S178" i="6"/>
  <c r="P177" i="6"/>
  <c r="N177" i="6"/>
  <c r="P175" i="6"/>
  <c r="V175" i="6"/>
  <c r="R175" i="6"/>
  <c r="R176" i="6" s="1"/>
  <c r="S163" i="6"/>
  <c r="S162" i="6"/>
  <c r="N162" i="6"/>
  <c r="S161" i="6"/>
  <c r="S160" i="6"/>
  <c r="S159" i="6"/>
  <c r="Q164" i="6"/>
  <c r="L164" i="6"/>
  <c r="S164" i="6" s="1"/>
  <c r="S157" i="6"/>
  <c r="S152" i="6"/>
  <c r="N152" i="6"/>
  <c r="N151" i="6"/>
  <c r="S150" i="6"/>
  <c r="N147" i="6"/>
  <c r="F154" i="6"/>
  <c r="S135" i="6"/>
  <c r="S134" i="6"/>
  <c r="S132" i="6"/>
  <c r="S131" i="6"/>
  <c r="S130" i="6"/>
  <c r="S128" i="6"/>
  <c r="Q136" i="6"/>
  <c r="N122" i="6"/>
  <c r="N120" i="6"/>
  <c r="S120" i="6"/>
  <c r="T119" i="6"/>
  <c r="S119" i="6"/>
  <c r="S118" i="6"/>
  <c r="S117" i="6"/>
  <c r="S116" i="6"/>
  <c r="S115" i="6"/>
  <c r="S114" i="6"/>
  <c r="N114" i="6"/>
  <c r="S113" i="6"/>
  <c r="L123" i="6"/>
  <c r="N113" i="6"/>
  <c r="U109" i="6"/>
  <c r="Q106" i="6"/>
  <c r="F106" i="6"/>
  <c r="E105" i="6"/>
  <c r="E104" i="6"/>
  <c r="E103" i="6"/>
  <c r="V101" i="6"/>
  <c r="S101" i="6"/>
  <c r="K101" i="6"/>
  <c r="R101" i="6"/>
  <c r="N101" i="6"/>
  <c r="M101" i="6"/>
  <c r="A100" i="6"/>
  <c r="R99" i="6"/>
  <c r="P99" i="6"/>
  <c r="M99" i="6"/>
  <c r="S99" i="6"/>
  <c r="K99" i="6"/>
  <c r="A99" i="6"/>
  <c r="E98" i="6"/>
  <c r="A98" i="6"/>
  <c r="D97" i="6"/>
  <c r="E97" i="6" s="1"/>
  <c r="A97" i="6"/>
  <c r="Q97" i="6"/>
  <c r="P96" i="6"/>
  <c r="K96" i="6"/>
  <c r="E96" i="6"/>
  <c r="M96" i="6"/>
  <c r="A96" i="6"/>
  <c r="S95" i="6"/>
  <c r="P95" i="6"/>
  <c r="M95" i="6"/>
  <c r="K95" i="6"/>
  <c r="N95" i="6"/>
  <c r="E95" i="6"/>
  <c r="R94" i="6"/>
  <c r="P94" i="6"/>
  <c r="N94" i="6"/>
  <c r="E94" i="6"/>
  <c r="S82" i="6"/>
  <c r="N82" i="6"/>
  <c r="S81" i="6"/>
  <c r="N81" i="6"/>
  <c r="S80" i="6"/>
  <c r="N80" i="6"/>
  <c r="S79" i="6"/>
  <c r="N79" i="6"/>
  <c r="Q83" i="6"/>
  <c r="S69" i="6"/>
  <c r="N69" i="6"/>
  <c r="Q72" i="6"/>
  <c r="Q54" i="6"/>
  <c r="D53" i="6"/>
  <c r="S52" i="6"/>
  <c r="N52" i="6"/>
  <c r="S51" i="6"/>
  <c r="N51" i="6"/>
  <c r="S50" i="6"/>
  <c r="N50" i="6"/>
  <c r="S49" i="6"/>
  <c r="N49" i="6"/>
  <c r="S48" i="6"/>
  <c r="N48" i="6"/>
  <c r="S47" i="6"/>
  <c r="N47" i="6"/>
  <c r="S46" i="6"/>
  <c r="N46" i="6"/>
  <c r="S45" i="6"/>
  <c r="N45" i="6"/>
  <c r="N44" i="6"/>
  <c r="S44" i="6"/>
  <c r="N43" i="6"/>
  <c r="S43" i="6"/>
  <c r="N42" i="6"/>
  <c r="P40" i="6"/>
  <c r="P39" i="6"/>
  <c r="S39" i="6"/>
  <c r="S38" i="6"/>
  <c r="N38" i="6"/>
  <c r="N36" i="6"/>
  <c r="P35" i="6"/>
  <c r="T33" i="6"/>
  <c r="S33" i="6"/>
  <c r="S32" i="6"/>
  <c r="O32" i="6"/>
  <c r="L41" i="6"/>
  <c r="U27" i="6"/>
  <c r="Q24" i="6"/>
  <c r="S23" i="6"/>
  <c r="N23" i="6"/>
  <c r="E23" i="6"/>
  <c r="N22" i="6"/>
  <c r="S22" i="6"/>
  <c r="E22" i="6"/>
  <c r="N21" i="6"/>
  <c r="S21" i="6"/>
  <c r="F24" i="6"/>
  <c r="E21" i="6"/>
  <c r="S17" i="6"/>
  <c r="P17" i="6"/>
  <c r="V17" i="6"/>
  <c r="R17" i="6"/>
  <c r="E17" i="6"/>
  <c r="S15" i="6"/>
  <c r="R15" i="6"/>
  <c r="N15" i="6"/>
  <c r="M15" i="6"/>
  <c r="E15" i="6"/>
  <c r="P12" i="6"/>
  <c r="S12" i="6"/>
  <c r="R12" i="6"/>
  <c r="E12" i="6"/>
  <c r="S11" i="6"/>
  <c r="P11" i="6"/>
  <c r="K11" i="6"/>
  <c r="E11" i="6"/>
  <c r="S10" i="6"/>
  <c r="P10" i="6"/>
  <c r="K10" i="6"/>
  <c r="N10" i="6"/>
  <c r="E10" i="6"/>
  <c r="P9" i="6"/>
  <c r="M9" i="6"/>
  <c r="N9" i="6"/>
  <c r="R9" i="6"/>
  <c r="E9" i="6"/>
  <c r="W8" i="6"/>
  <c r="S8" i="6"/>
  <c r="P8" i="6"/>
  <c r="R8" i="6"/>
  <c r="N8" i="6"/>
  <c r="S7" i="6"/>
  <c r="P7" i="6"/>
  <c r="L13" i="6"/>
  <c r="K7" i="6"/>
  <c r="R7" i="6"/>
  <c r="S6" i="6"/>
  <c r="Q13" i="6"/>
  <c r="P6" i="6"/>
  <c r="E116" i="6" l="1"/>
  <c r="E118" i="6"/>
  <c r="E121" i="6"/>
  <c r="V13" i="6"/>
  <c r="J31" i="6"/>
  <c r="N11" i="6"/>
  <c r="D13" i="6"/>
  <c r="E6" i="6"/>
  <c r="F13" i="6"/>
  <c r="N6" i="6"/>
  <c r="F97" i="6"/>
  <c r="F109" i="6" s="1"/>
  <c r="M6" i="6"/>
  <c r="O113" i="6"/>
  <c r="S98" i="6"/>
  <c r="Q109" i="6"/>
  <c r="P136" i="6"/>
  <c r="E8" i="6"/>
  <c r="M8" i="6"/>
  <c r="F41" i="6"/>
  <c r="N31" i="6"/>
  <c r="Q27" i="6"/>
  <c r="O31" i="6"/>
  <c r="N41" i="6"/>
  <c r="S41" i="6"/>
  <c r="E7" i="6"/>
  <c r="M7" i="6"/>
  <c r="D32" i="6"/>
  <c r="N32" i="6"/>
  <c r="M10" i="6"/>
  <c r="N7" i="6"/>
  <c r="K8" i="6"/>
  <c r="S9" i="6"/>
  <c r="S13" i="6" s="1"/>
  <c r="S14" i="6" s="1"/>
  <c r="M11" i="6"/>
  <c r="N33" i="6"/>
  <c r="R6" i="6"/>
  <c r="K12" i="6"/>
  <c r="J13" i="6"/>
  <c r="K17" i="6"/>
  <c r="J32" i="6"/>
  <c r="L97" i="6"/>
  <c r="S94" i="6"/>
  <c r="S97" i="6" s="1"/>
  <c r="E193" i="6"/>
  <c r="R11" i="6"/>
  <c r="S36" i="6"/>
  <c r="S104" i="6"/>
  <c r="N104" i="6"/>
  <c r="D106" i="6"/>
  <c r="E106" i="6" s="1"/>
  <c r="E115" i="6"/>
  <c r="E117" i="6"/>
  <c r="E119" i="6"/>
  <c r="S127" i="6"/>
  <c r="N139" i="6"/>
  <c r="S139" i="6"/>
  <c r="N143" i="6"/>
  <c r="S143" i="6"/>
  <c r="L268" i="6"/>
  <c r="S259" i="6"/>
  <c r="S260" i="6" s="1"/>
  <c r="M12" i="6"/>
  <c r="P15" i="6"/>
  <c r="M17" i="6"/>
  <c r="N58" i="6"/>
  <c r="S58" i="6"/>
  <c r="N62" i="6"/>
  <c r="S62" i="6"/>
  <c r="N66" i="6"/>
  <c r="S66" i="6"/>
  <c r="S70" i="6"/>
  <c r="N70" i="6"/>
  <c r="E101" i="6"/>
  <c r="Q123" i="6"/>
  <c r="AO572" i="6"/>
  <c r="AO489" i="6"/>
  <c r="S432" i="6"/>
  <c r="S367" i="6"/>
  <c r="S242" i="6"/>
  <c r="S310" i="6"/>
  <c r="S169" i="6"/>
  <c r="K6" i="6"/>
  <c r="R10" i="6"/>
  <c r="AL519" i="6" s="1"/>
  <c r="K9" i="6"/>
  <c r="N12" i="6"/>
  <c r="N17" i="6"/>
  <c r="L24" i="6"/>
  <c r="L27" i="6" s="1"/>
  <c r="N35" i="6"/>
  <c r="F54" i="6"/>
  <c r="F83" i="6"/>
  <c r="N78" i="6"/>
  <c r="S89" i="6"/>
  <c r="S96" i="6"/>
  <c r="N121" i="6"/>
  <c r="F136" i="6"/>
  <c r="E194" i="6"/>
  <c r="R259" i="6"/>
  <c r="N40" i="6"/>
  <c r="K40" i="6"/>
  <c r="L54" i="6"/>
  <c r="F72" i="6"/>
  <c r="S75" i="6"/>
  <c r="N75" i="6"/>
  <c r="E114" i="6"/>
  <c r="N115" i="6"/>
  <c r="N117" i="6"/>
  <c r="N119" i="6"/>
  <c r="S124" i="6"/>
  <c r="S140" i="6"/>
  <c r="N140" i="6"/>
  <c r="S144" i="6"/>
  <c r="N144" i="6"/>
  <c r="S148" i="6"/>
  <c r="N148" i="6"/>
  <c r="M177" i="6"/>
  <c r="E177" i="6"/>
  <c r="F305" i="6"/>
  <c r="S59" i="6"/>
  <c r="N59" i="6"/>
  <c r="S67" i="6"/>
  <c r="N67" i="6"/>
  <c r="S71" i="6"/>
  <c r="N71" i="6"/>
  <c r="L106" i="6"/>
  <c r="S103" i="6"/>
  <c r="N103" i="6"/>
  <c r="S63" i="6"/>
  <c r="N63" i="6"/>
  <c r="S31" i="6"/>
  <c r="S35" i="6"/>
  <c r="N37" i="6"/>
  <c r="S78" i="6"/>
  <c r="O114" i="6"/>
  <c r="D114" i="6"/>
  <c r="S121" i="6"/>
  <c r="E154" i="6"/>
  <c r="E160" i="6"/>
  <c r="D160" i="6" s="1"/>
  <c r="N160" i="6"/>
  <c r="E195" i="6"/>
  <c r="F227" i="6"/>
  <c r="O13" i="6"/>
  <c r="Q41" i="6"/>
  <c r="L72" i="6"/>
  <c r="L74" i="6" s="1"/>
  <c r="S55" i="6"/>
  <c r="N55" i="6"/>
  <c r="S40" i="6"/>
  <c r="S42" i="6"/>
  <c r="S76" i="6"/>
  <c r="N76" i="6"/>
  <c r="N99" i="6"/>
  <c r="E113" i="6"/>
  <c r="E120" i="6"/>
  <c r="E122" i="6"/>
  <c r="S125" i="6"/>
  <c r="S129" i="6"/>
  <c r="S133" i="6"/>
  <c r="N137" i="6"/>
  <c r="L154" i="6"/>
  <c r="S137" i="6"/>
  <c r="N141" i="6"/>
  <c r="S141" i="6"/>
  <c r="N145" i="6"/>
  <c r="N149" i="6"/>
  <c r="N153" i="6"/>
  <c r="N195" i="6"/>
  <c r="D259" i="6"/>
  <c r="N34" i="6"/>
  <c r="U39" i="6"/>
  <c r="N56" i="6"/>
  <c r="S56" i="6"/>
  <c r="N60" i="6"/>
  <c r="S60" i="6"/>
  <c r="N64" i="6"/>
  <c r="S64" i="6"/>
  <c r="N68" i="6"/>
  <c r="S68" i="6"/>
  <c r="Q154" i="6"/>
  <c r="P154" i="6" s="1"/>
  <c r="P160" i="6"/>
  <c r="O160" i="6" s="1"/>
  <c r="P227" i="6"/>
  <c r="E259" i="6"/>
  <c r="E268" i="6" s="1"/>
  <c r="M246" i="6"/>
  <c r="E248" i="6"/>
  <c r="K15" i="6"/>
  <c r="S37" i="6"/>
  <c r="N39" i="6"/>
  <c r="R96" i="6"/>
  <c r="O97" i="6"/>
  <c r="P101" i="6"/>
  <c r="S105" i="6"/>
  <c r="N105" i="6"/>
  <c r="D109" i="6"/>
  <c r="E109" i="6" s="1"/>
  <c r="F123" i="6"/>
  <c r="D113" i="6"/>
  <c r="N116" i="6"/>
  <c r="N118" i="6"/>
  <c r="S122" i="6"/>
  <c r="N157" i="6"/>
  <c r="F164" i="6"/>
  <c r="AF499" i="6"/>
  <c r="AF498" i="6"/>
  <c r="Z505" i="6"/>
  <c r="Z504" i="6"/>
  <c r="V572" i="6"/>
  <c r="Z563" i="6"/>
  <c r="AF551" i="6"/>
  <c r="AF530" i="6"/>
  <c r="Z525" i="6"/>
  <c r="AI525" i="6" s="1"/>
  <c r="AF559" i="6"/>
  <c r="AF528" i="6"/>
  <c r="Z523" i="6"/>
  <c r="AI523" i="6" s="1"/>
  <c r="V489" i="6"/>
  <c r="AF521" i="6"/>
  <c r="Z515" i="6"/>
  <c r="Z510" i="6"/>
  <c r="AI510" i="6" s="1"/>
  <c r="Z518" i="6"/>
  <c r="AI518" i="6" s="1"/>
  <c r="AF508" i="6"/>
  <c r="AF558" i="6"/>
  <c r="Z522" i="6"/>
  <c r="AI522" i="6" s="1"/>
  <c r="C367" i="6"/>
  <c r="C432" i="6" s="1"/>
  <c r="Z519" i="6"/>
  <c r="AI519" i="6" s="1"/>
  <c r="C310" i="6"/>
  <c r="C242" i="6"/>
  <c r="C89" i="6"/>
  <c r="AF531" i="6" s="1"/>
  <c r="C169" i="6"/>
  <c r="AF552" i="6" s="1"/>
  <c r="S34" i="6"/>
  <c r="S53" i="6"/>
  <c r="N53" i="6"/>
  <c r="N54" i="6" s="1"/>
  <c r="S77" i="6"/>
  <c r="N77" i="6"/>
  <c r="L83" i="6"/>
  <c r="R95" i="6"/>
  <c r="R97" i="6" s="1"/>
  <c r="R98" i="6" s="1"/>
  <c r="S126" i="6"/>
  <c r="S138" i="6"/>
  <c r="N138" i="6"/>
  <c r="S142" i="6"/>
  <c r="N142" i="6"/>
  <c r="S146" i="6"/>
  <c r="N146" i="6"/>
  <c r="E175" i="6"/>
  <c r="S209" i="6"/>
  <c r="S57" i="6"/>
  <c r="N57" i="6"/>
  <c r="S61" i="6"/>
  <c r="N61" i="6"/>
  <c r="S65" i="6"/>
  <c r="N65" i="6"/>
  <c r="M94" i="6"/>
  <c r="K94" i="6"/>
  <c r="J97" i="6"/>
  <c r="N96" i="6"/>
  <c r="S123" i="6"/>
  <c r="N123" i="6"/>
  <c r="K260" i="6"/>
  <c r="S145" i="6"/>
  <c r="S147" i="6"/>
  <c r="S149" i="6"/>
  <c r="S151" i="6"/>
  <c r="S153" i="6"/>
  <c r="N158" i="6"/>
  <c r="N161" i="6"/>
  <c r="N163" i="6"/>
  <c r="K175" i="6"/>
  <c r="R177" i="6"/>
  <c r="R178" i="6" s="1"/>
  <c r="N194" i="6"/>
  <c r="F196" i="6"/>
  <c r="N196" i="6" s="1"/>
  <c r="N205" i="6"/>
  <c r="S207" i="6"/>
  <c r="N219" i="6"/>
  <c r="N232" i="6"/>
  <c r="N234" i="6"/>
  <c r="S236" i="6"/>
  <c r="L247" i="6"/>
  <c r="M249" i="6"/>
  <c r="N255" i="6"/>
  <c r="S352" i="6"/>
  <c r="N352" i="6"/>
  <c r="S356" i="6"/>
  <c r="N356" i="6"/>
  <c r="S360" i="6"/>
  <c r="N360" i="6"/>
  <c r="Q380" i="6"/>
  <c r="M373" i="6"/>
  <c r="Q425" i="6"/>
  <c r="S177" i="6"/>
  <c r="V182" i="6"/>
  <c r="F247" i="6"/>
  <c r="F259" i="6"/>
  <c r="N259" i="6" s="1"/>
  <c r="N260" i="6" s="1"/>
  <c r="E254" i="6"/>
  <c r="S265" i="6"/>
  <c r="N289" i="6"/>
  <c r="R376" i="6"/>
  <c r="M376" i="6"/>
  <c r="K376" i="6"/>
  <c r="N124" i="6"/>
  <c r="N126" i="6"/>
  <c r="N128" i="6"/>
  <c r="N130" i="6"/>
  <c r="N132" i="6"/>
  <c r="N134" i="6"/>
  <c r="L136" i="6"/>
  <c r="S158" i="6"/>
  <c r="M175" i="6"/>
  <c r="V177" i="6"/>
  <c r="N179" i="6"/>
  <c r="S183" i="6"/>
  <c r="S186" i="6"/>
  <c r="S187" i="6"/>
  <c r="S191" i="6"/>
  <c r="S210" i="6"/>
  <c r="N217" i="6"/>
  <c r="S222" i="6"/>
  <c r="F237" i="6"/>
  <c r="S232" i="6"/>
  <c r="S237" i="6" s="1"/>
  <c r="R249" i="6"/>
  <c r="L266" i="6"/>
  <c r="L284" i="6"/>
  <c r="S272" i="6"/>
  <c r="E275" i="6"/>
  <c r="N279" i="6"/>
  <c r="N292" i="6"/>
  <c r="Q316" i="6"/>
  <c r="S408" i="6"/>
  <c r="N408" i="6"/>
  <c r="N175" i="6"/>
  <c r="N208" i="6"/>
  <c r="N210" i="6"/>
  <c r="N222" i="6"/>
  <c r="N230" i="6"/>
  <c r="K259" i="6"/>
  <c r="L260" i="6" s="1"/>
  <c r="K248" i="6"/>
  <c r="S332" i="6"/>
  <c r="N332" i="6"/>
  <c r="S336" i="6"/>
  <c r="N336" i="6"/>
  <c r="S340" i="6"/>
  <c r="N340" i="6"/>
  <c r="N353" i="6"/>
  <c r="N150" i="6"/>
  <c r="Q196" i="6"/>
  <c r="S196" i="6" s="1"/>
  <c r="L227" i="6"/>
  <c r="P248" i="6"/>
  <c r="S315" i="6"/>
  <c r="S316" i="6" s="1"/>
  <c r="N345" i="6"/>
  <c r="S345" i="6"/>
  <c r="J380" i="6"/>
  <c r="M372" i="6"/>
  <c r="K372" i="6"/>
  <c r="K177" i="6"/>
  <c r="E179" i="6"/>
  <c r="N189" i="6"/>
  <c r="N193" i="6"/>
  <c r="N206" i="6"/>
  <c r="S213" i="6"/>
  <c r="N220" i="6"/>
  <c r="S225" i="6"/>
  <c r="N235" i="6"/>
  <c r="M252" i="6"/>
  <c r="L256" i="6"/>
  <c r="S275" i="6"/>
  <c r="N285" i="6"/>
  <c r="L316" i="6"/>
  <c r="E371" i="6"/>
  <c r="D380" i="6"/>
  <c r="N159" i="6"/>
  <c r="R179" i="6"/>
  <c r="R180" i="6" s="1"/>
  <c r="N182" i="6"/>
  <c r="F209" i="6"/>
  <c r="S252" i="6"/>
  <c r="S253" i="6" s="1"/>
  <c r="P303" i="6"/>
  <c r="S350" i="6"/>
  <c r="N350" i="6"/>
  <c r="S354" i="6"/>
  <c r="N354" i="6"/>
  <c r="S358" i="6"/>
  <c r="N358" i="6"/>
  <c r="M374" i="6"/>
  <c r="E374" i="6"/>
  <c r="R379" i="6"/>
  <c r="P379" i="6"/>
  <c r="Q406" i="6"/>
  <c r="S175" i="6"/>
  <c r="S176" i="6" s="1"/>
  <c r="S179" i="6"/>
  <c r="S180" i="6" s="1"/>
  <c r="O182" i="6"/>
  <c r="J186" i="6"/>
  <c r="J187" i="6"/>
  <c r="S211" i="6"/>
  <c r="N218" i="6"/>
  <c r="S223" i="6"/>
  <c r="L237" i="6"/>
  <c r="N252" i="6"/>
  <c r="S256" i="6"/>
  <c r="S262" i="6"/>
  <c r="S263" i="6" s="1"/>
  <c r="F380" i="6"/>
  <c r="F385" i="6" s="1"/>
  <c r="F390" i="6" s="1"/>
  <c r="E425" i="6" s="1"/>
  <c r="M375" i="6"/>
  <c r="N125" i="6"/>
  <c r="N127" i="6"/>
  <c r="N129" i="6"/>
  <c r="N131" i="6"/>
  <c r="N133" i="6"/>
  <c r="N135" i="6"/>
  <c r="S216" i="6"/>
  <c r="P259" i="6"/>
  <c r="P268" i="6" s="1"/>
  <c r="P257" i="6"/>
  <c r="Q305" i="6"/>
  <c r="P305" i="6" s="1"/>
  <c r="F319" i="6"/>
  <c r="F326" i="6"/>
  <c r="E342" i="6" s="1"/>
  <c r="Q326" i="6"/>
  <c r="S322" i="6"/>
  <c r="S405" i="6"/>
  <c r="N405" i="6"/>
  <c r="L229" i="6"/>
  <c r="L239" i="6" s="1"/>
  <c r="N303" i="6"/>
  <c r="K303" i="6"/>
  <c r="S330" i="6"/>
  <c r="L342" i="6"/>
  <c r="N330" i="6"/>
  <c r="S334" i="6"/>
  <c r="N334" i="6"/>
  <c r="S338" i="6"/>
  <c r="N338" i="6"/>
  <c r="F361" i="6"/>
  <c r="E361" i="6" s="1"/>
  <c r="N351" i="6"/>
  <c r="L385" i="6"/>
  <c r="S380" i="6"/>
  <c r="M384" i="6"/>
  <c r="N186" i="6"/>
  <c r="S197" i="6"/>
  <c r="N221" i="6"/>
  <c r="Q253" i="6"/>
  <c r="N276" i="6"/>
  <c r="N283" i="6"/>
  <c r="N296" i="6"/>
  <c r="S303" i="6"/>
  <c r="Q363" i="6"/>
  <c r="P363" i="6" s="1"/>
  <c r="N343" i="6"/>
  <c r="L361" i="6"/>
  <c r="S343" i="6"/>
  <c r="N347" i="6"/>
  <c r="S347" i="6"/>
  <c r="E383" i="6"/>
  <c r="M383" i="6"/>
  <c r="J182" i="6"/>
  <c r="O186" i="6"/>
  <c r="N258" i="6"/>
  <c r="Q269" i="6"/>
  <c r="M318" i="6"/>
  <c r="Q361" i="6"/>
  <c r="P361" i="6" s="1"/>
  <c r="S399" i="6"/>
  <c r="N399" i="6"/>
  <c r="L319" i="6"/>
  <c r="L326" i="6"/>
  <c r="R373" i="6"/>
  <c r="R377" i="6"/>
  <c r="S410" i="6"/>
  <c r="F441" i="6"/>
  <c r="AN546" i="6"/>
  <c r="AH546" i="6"/>
  <c r="AI580" i="6"/>
  <c r="AH580" i="6"/>
  <c r="S417" i="6"/>
  <c r="N417" i="6"/>
  <c r="S423" i="6"/>
  <c r="N423" i="6"/>
  <c r="AO546" i="6"/>
  <c r="N262" i="6"/>
  <c r="N322" i="6"/>
  <c r="N371" i="6"/>
  <c r="O380" i="6"/>
  <c r="N411" i="6"/>
  <c r="S411" i="6"/>
  <c r="E448" i="6"/>
  <c r="L464" i="6"/>
  <c r="AH544" i="6"/>
  <c r="S378" i="6"/>
  <c r="K383" i="6"/>
  <c r="F406" i="6"/>
  <c r="AH547" i="6"/>
  <c r="N344" i="6"/>
  <c r="N346" i="6"/>
  <c r="N348" i="6"/>
  <c r="P371" i="6"/>
  <c r="S374" i="6"/>
  <c r="L406" i="6"/>
  <c r="N394" i="6"/>
  <c r="L482" i="6"/>
  <c r="S465" i="6"/>
  <c r="AL568" i="6"/>
  <c r="S397" i="6"/>
  <c r="N397" i="6"/>
  <c r="S403" i="6"/>
  <c r="N403" i="6"/>
  <c r="S415" i="6"/>
  <c r="N415" i="6"/>
  <c r="S421" i="6"/>
  <c r="N421" i="6"/>
  <c r="L438" i="6"/>
  <c r="S437" i="6"/>
  <c r="S448" i="6" s="1"/>
  <c r="S449" i="6" s="1"/>
  <c r="L448" i="6"/>
  <c r="R443" i="6"/>
  <c r="S458" i="6"/>
  <c r="Q482" i="6"/>
  <c r="P482" i="6" s="1"/>
  <c r="N318" i="6"/>
  <c r="N319" i="6" s="1"/>
  <c r="N383" i="6"/>
  <c r="K384" i="6"/>
  <c r="S394" i="6"/>
  <c r="S400" i="6"/>
  <c r="N409" i="6"/>
  <c r="S409" i="6"/>
  <c r="N412" i="6"/>
  <c r="S418" i="6"/>
  <c r="S424" i="6"/>
  <c r="N438" i="6"/>
  <c r="F464" i="6"/>
  <c r="S472" i="6"/>
  <c r="AO535" i="6"/>
  <c r="AN535" i="6"/>
  <c r="N321" i="6"/>
  <c r="S371" i="6"/>
  <c r="Q444" i="6"/>
  <c r="S452" i="6"/>
  <c r="S466" i="6"/>
  <c r="AI507" i="6"/>
  <c r="N231" i="6"/>
  <c r="N331" i="6"/>
  <c r="N333" i="6"/>
  <c r="N335" i="6"/>
  <c r="N337" i="6"/>
  <c r="N339" i="6"/>
  <c r="N341" i="6"/>
  <c r="K374" i="6"/>
  <c r="P448" i="6"/>
  <c r="Q449" i="6" s="1"/>
  <c r="P439" i="6"/>
  <c r="Q484" i="6"/>
  <c r="P484" i="6" s="1"/>
  <c r="P464" i="6"/>
  <c r="S395" i="6"/>
  <c r="N395" i="6"/>
  <c r="S401" i="6"/>
  <c r="N401" i="6"/>
  <c r="S413" i="6"/>
  <c r="N413" i="6"/>
  <c r="S419" i="6"/>
  <c r="N419" i="6"/>
  <c r="Q441" i="6"/>
  <c r="AH583" i="6"/>
  <c r="S398" i="6"/>
  <c r="S404" i="6"/>
  <c r="N407" i="6"/>
  <c r="L425" i="6"/>
  <c r="S407" i="6"/>
  <c r="S425" i="6" s="1"/>
  <c r="S416" i="6"/>
  <c r="S422" i="6"/>
  <c r="AN540" i="6"/>
  <c r="AH540" i="6"/>
  <c r="N388" i="6"/>
  <c r="AN543" i="6"/>
  <c r="AH543" i="6"/>
  <c r="Q438" i="6"/>
  <c r="M440" i="6"/>
  <c r="N441" i="6" s="1"/>
  <c r="L444" i="6"/>
  <c r="AK496" i="6"/>
  <c r="AK497" i="6"/>
  <c r="AK498" i="6"/>
  <c r="AK499" i="6"/>
  <c r="AK500" i="6"/>
  <c r="AK501" i="6"/>
  <c r="AK502" i="6"/>
  <c r="AK503" i="6"/>
  <c r="AK504" i="6"/>
  <c r="AO540" i="6"/>
  <c r="AN580" i="6"/>
  <c r="AH579" i="6"/>
  <c r="AN583" i="6"/>
  <c r="AJ567" i="6"/>
  <c r="AH507" i="6"/>
  <c r="AH556" i="6"/>
  <c r="AI556" i="6" s="1"/>
  <c r="AH581" i="6"/>
  <c r="L441" i="6"/>
  <c r="E136" i="6" l="1"/>
  <c r="E209" i="6"/>
  <c r="E227" i="6"/>
  <c r="N380" i="6"/>
  <c r="N381" i="6" s="1"/>
  <c r="AN531" i="6"/>
  <c r="AO531" i="6" s="1"/>
  <c r="L85" i="6"/>
  <c r="V27" i="6"/>
  <c r="S27" i="6"/>
  <c r="K41" i="6"/>
  <c r="AO519" i="6"/>
  <c r="AL520" i="6"/>
  <c r="K74" i="6"/>
  <c r="AN552" i="6"/>
  <c r="AI504" i="6"/>
  <c r="Y504" i="6"/>
  <c r="AN498" i="6"/>
  <c r="AO498" i="6" s="1"/>
  <c r="AE498" i="6"/>
  <c r="AF534" i="6"/>
  <c r="AF516" i="6"/>
  <c r="AF536" i="6"/>
  <c r="S154" i="6"/>
  <c r="N154" i="6"/>
  <c r="P123" i="6"/>
  <c r="Q156" i="6"/>
  <c r="P156" i="6" s="1"/>
  <c r="N13" i="6"/>
  <c r="AN558" i="6"/>
  <c r="AO558" i="6" s="1"/>
  <c r="AN499" i="6"/>
  <c r="AO499" i="6" s="1"/>
  <c r="AE499" i="6"/>
  <c r="Z560" i="6"/>
  <c r="AF524" i="6"/>
  <c r="Z552" i="6"/>
  <c r="AI552" i="6" s="1"/>
  <c r="F27" i="6"/>
  <c r="N14" i="6"/>
  <c r="AI505" i="6"/>
  <c r="Y505" i="6"/>
  <c r="N425" i="6"/>
  <c r="N385" i="6"/>
  <c r="N386" i="6" s="1"/>
  <c r="L390" i="6"/>
  <c r="Q307" i="6"/>
  <c r="F260" i="6"/>
  <c r="F268" i="6"/>
  <c r="E305" i="6" s="1"/>
  <c r="AF509" i="6"/>
  <c r="AF518" i="6"/>
  <c r="AL536" i="6"/>
  <c r="AL538" i="6"/>
  <c r="AO538" i="6" s="1"/>
  <c r="Z509" i="6"/>
  <c r="AI509" i="6" s="1"/>
  <c r="AF500" i="6"/>
  <c r="Z565" i="6"/>
  <c r="Z531" i="6"/>
  <c r="AI531" i="6" s="1"/>
  <c r="Z557" i="6"/>
  <c r="N72" i="6"/>
  <c r="AN559" i="6"/>
  <c r="Z551" i="6"/>
  <c r="AI551" i="6" s="1"/>
  <c r="AF584" i="6"/>
  <c r="AF514" i="6"/>
  <c r="AF501" i="6"/>
  <c r="AF511" i="6"/>
  <c r="Z536" i="6"/>
  <c r="AI536" i="6" s="1"/>
  <c r="AF562" i="6"/>
  <c r="S72" i="6"/>
  <c r="N83" i="6"/>
  <c r="J27" i="6"/>
  <c r="K23" i="6"/>
  <c r="K22" i="6"/>
  <c r="K21" i="6"/>
  <c r="K13" i="6"/>
  <c r="M14" i="6"/>
  <c r="E13" i="6"/>
  <c r="D27" i="6"/>
  <c r="S136" i="6"/>
  <c r="N136" i="6"/>
  <c r="Z528" i="6"/>
  <c r="AI528" i="6" s="1"/>
  <c r="AF564" i="6"/>
  <c r="AF561" i="6"/>
  <c r="Z496" i="6"/>
  <c r="AF517" i="6"/>
  <c r="AF502" i="6"/>
  <c r="Z516" i="6"/>
  <c r="AF550" i="6"/>
  <c r="P97" i="6"/>
  <c r="P105" i="6"/>
  <c r="P103" i="6"/>
  <c r="O106" i="6"/>
  <c r="P106" i="6" s="1"/>
  <c r="P104" i="6"/>
  <c r="O109" i="6"/>
  <c r="K72" i="6"/>
  <c r="J114" i="6"/>
  <c r="V106" i="6"/>
  <c r="N106" i="6"/>
  <c r="N107" i="6" s="1"/>
  <c r="S106" i="6"/>
  <c r="S107" i="6" s="1"/>
  <c r="S83" i="6"/>
  <c r="S268" i="6"/>
  <c r="S269" i="6" s="1"/>
  <c r="Q166" i="6"/>
  <c r="AN551" i="6"/>
  <c r="L449" i="6"/>
  <c r="F427" i="6"/>
  <c r="E427" i="6" s="1"/>
  <c r="E406" i="6"/>
  <c r="AN508" i="6"/>
  <c r="AO508" i="6" s="1"/>
  <c r="R182" i="6"/>
  <c r="K182" i="6"/>
  <c r="D385" i="6"/>
  <c r="E380" i="6"/>
  <c r="Z521" i="6"/>
  <c r="AH521" i="6" s="1"/>
  <c r="AF538" i="6"/>
  <c r="Z512" i="6"/>
  <c r="AI512" i="6" s="1"/>
  <c r="AF566" i="6"/>
  <c r="Z497" i="6"/>
  <c r="Z527" i="6"/>
  <c r="AI527" i="6" s="1"/>
  <c r="AF503" i="6"/>
  <c r="Z524" i="6"/>
  <c r="AI524" i="6" s="1"/>
  <c r="Z562" i="6"/>
  <c r="E72" i="6"/>
  <c r="J24" i="6"/>
  <c r="R13" i="6"/>
  <c r="R14" i="6" s="1"/>
  <c r="D24" i="6"/>
  <c r="K425" i="6"/>
  <c r="AN521" i="6"/>
  <c r="AO521" i="6" s="1"/>
  <c r="K482" i="6"/>
  <c r="E196" i="6"/>
  <c r="F229" i="6"/>
  <c r="S406" i="6"/>
  <c r="N406" i="6"/>
  <c r="K406" i="6"/>
  <c r="L427" i="6"/>
  <c r="L484" i="6"/>
  <c r="S464" i="6"/>
  <c r="K464" i="6"/>
  <c r="F363" i="6"/>
  <c r="E363" i="6" s="1"/>
  <c r="K268" i="6"/>
  <c r="M259" i="6"/>
  <c r="M179" i="6"/>
  <c r="Q260" i="6"/>
  <c r="L156" i="6"/>
  <c r="Z533" i="6"/>
  <c r="Z559" i="6"/>
  <c r="AH559" i="6" s="1"/>
  <c r="AI559" i="6" s="1"/>
  <c r="AF523" i="6"/>
  <c r="Z584" i="6"/>
  <c r="AI584" i="6" s="1"/>
  <c r="Z498" i="6"/>
  <c r="AH498" i="6" s="1"/>
  <c r="AF532" i="6"/>
  <c r="AF504" i="6"/>
  <c r="AF529" i="6"/>
  <c r="Z567" i="6"/>
  <c r="N164" i="6"/>
  <c r="Q74" i="6"/>
  <c r="P74" i="6" s="1"/>
  <c r="P41" i="6"/>
  <c r="K54" i="6"/>
  <c r="Q85" i="6"/>
  <c r="S28" i="6"/>
  <c r="AN528" i="6"/>
  <c r="AO528" i="6" s="1"/>
  <c r="N229" i="6"/>
  <c r="L327" i="6"/>
  <c r="S326" i="6"/>
  <c r="S327" i="6" s="1"/>
  <c r="N326" i="6"/>
  <c r="N327" i="6" s="1"/>
  <c r="K342" i="6"/>
  <c r="S227" i="6"/>
  <c r="N227" i="6"/>
  <c r="N237" i="6"/>
  <c r="Z538" i="6"/>
  <c r="AI538" i="6" s="1"/>
  <c r="AF567" i="6"/>
  <c r="Z530" i="6"/>
  <c r="AI530" i="6" s="1"/>
  <c r="Z514" i="6"/>
  <c r="AI514" i="6" s="1"/>
  <c r="Z499" i="6"/>
  <c r="AH499" i="6" s="1"/>
  <c r="AF537" i="6"/>
  <c r="AF505" i="6"/>
  <c r="AL537" i="6"/>
  <c r="AO537" i="6" s="1"/>
  <c r="Z508" i="6"/>
  <c r="AH508" i="6" s="1"/>
  <c r="O27" i="6"/>
  <c r="P23" i="6"/>
  <c r="R23" i="6" s="1"/>
  <c r="P22" i="6"/>
  <c r="R22" i="6" s="1"/>
  <c r="P21" i="6"/>
  <c r="R21" i="6" s="1"/>
  <c r="P13" i="6"/>
  <c r="AK567" i="6" s="1"/>
  <c r="E54" i="6"/>
  <c r="P209" i="6"/>
  <c r="AI515" i="6"/>
  <c r="N209" i="6"/>
  <c r="AF582" i="6"/>
  <c r="Z535" i="6"/>
  <c r="Z517" i="6"/>
  <c r="Z500" i="6"/>
  <c r="Z558" i="6"/>
  <c r="AH558" i="6" s="1"/>
  <c r="AI558" i="6" s="1"/>
  <c r="Z511" i="6"/>
  <c r="AI511" i="6" s="1"/>
  <c r="Z550" i="6"/>
  <c r="AF513" i="6"/>
  <c r="P72" i="6"/>
  <c r="Q427" i="6"/>
  <c r="K380" i="6"/>
  <c r="J385" i="6"/>
  <c r="M380" i="6"/>
  <c r="E464" i="6"/>
  <c r="F484" i="6"/>
  <c r="P342" i="6"/>
  <c r="Q327" i="6"/>
  <c r="Q365" i="6"/>
  <c r="R183" i="6"/>
  <c r="P182" i="6"/>
  <c r="AF527" i="6"/>
  <c r="AF557" i="6"/>
  <c r="Z561" i="6"/>
  <c r="AF525" i="6"/>
  <c r="Z501" i="6"/>
  <c r="AF563" i="6"/>
  <c r="AF519" i="6"/>
  <c r="AF560" i="6"/>
  <c r="P54" i="6"/>
  <c r="D31" i="6"/>
  <c r="M13" i="6"/>
  <c r="N361" i="6"/>
  <c r="AN530" i="6"/>
  <c r="AO530" i="6" s="1"/>
  <c r="AH530" i="6"/>
  <c r="S482" i="6"/>
  <c r="P196" i="6"/>
  <c r="Q229" i="6"/>
  <c r="S229" i="6" s="1"/>
  <c r="K284" i="6"/>
  <c r="N284" i="6"/>
  <c r="L305" i="6"/>
  <c r="S284" i="6"/>
  <c r="Q486" i="6"/>
  <c r="O385" i="6"/>
  <c r="R380" i="6"/>
  <c r="P380" i="6"/>
  <c r="S342" i="6"/>
  <c r="L363" i="6"/>
  <c r="N342" i="6"/>
  <c r="F327" i="6"/>
  <c r="P195" i="6"/>
  <c r="K194" i="6"/>
  <c r="P193" i="6"/>
  <c r="K105" i="6"/>
  <c r="K104" i="6"/>
  <c r="K103" i="6"/>
  <c r="P192" i="6"/>
  <c r="K191" i="6"/>
  <c r="E190" i="6"/>
  <c r="P188" i="6"/>
  <c r="K187" i="6"/>
  <c r="K186" i="6"/>
  <c r="P119" i="6"/>
  <c r="K118" i="6"/>
  <c r="P115" i="6"/>
  <c r="J106" i="6"/>
  <c r="K195" i="6"/>
  <c r="K192" i="6"/>
  <c r="P189" i="6"/>
  <c r="K188" i="6"/>
  <c r="P120" i="6"/>
  <c r="E187" i="6"/>
  <c r="K193" i="6"/>
  <c r="E192" i="6"/>
  <c r="P190" i="6"/>
  <c r="K189" i="6"/>
  <c r="K160" i="6"/>
  <c r="J160" i="6" s="1"/>
  <c r="P117" i="6"/>
  <c r="K116" i="6"/>
  <c r="P194" i="6"/>
  <c r="P191" i="6"/>
  <c r="K190" i="6"/>
  <c r="P187" i="6"/>
  <c r="P186" i="6"/>
  <c r="P122" i="6"/>
  <c r="K121" i="6"/>
  <c r="J109" i="6"/>
  <c r="P118" i="6"/>
  <c r="P116" i="6"/>
  <c r="P114" i="6"/>
  <c r="K113" i="6"/>
  <c r="K122" i="6"/>
  <c r="K120" i="6"/>
  <c r="M97" i="6"/>
  <c r="K114" i="6"/>
  <c r="K97" i="6"/>
  <c r="P121" i="6"/>
  <c r="K119" i="6"/>
  <c r="K117" i="6"/>
  <c r="K115" i="6"/>
  <c r="P113" i="6"/>
  <c r="D182" i="6"/>
  <c r="E182" i="6" s="1"/>
  <c r="Z582" i="6"/>
  <c r="AI582" i="6" s="1"/>
  <c r="AF510" i="6"/>
  <c r="AF520" i="6" s="1"/>
  <c r="Z566" i="6"/>
  <c r="Z532" i="6"/>
  <c r="AI532" i="6" s="1"/>
  <c r="Z502" i="6"/>
  <c r="AF496" i="6"/>
  <c r="AF522" i="6"/>
  <c r="AF565" i="6"/>
  <c r="Z526" i="6"/>
  <c r="P260" i="6"/>
  <c r="S24" i="6"/>
  <c r="S25" i="6" s="1"/>
  <c r="N24" i="6"/>
  <c r="N25" i="6" s="1"/>
  <c r="V24" i="6"/>
  <c r="V97" i="6"/>
  <c r="J113" i="6"/>
  <c r="N97" i="6"/>
  <c r="L109" i="6"/>
  <c r="K154" i="6" s="1"/>
  <c r="F166" i="6"/>
  <c r="K361" i="6"/>
  <c r="S361" i="6"/>
  <c r="F429" i="6"/>
  <c r="F487" i="6"/>
  <c r="S381" i="6"/>
  <c r="Q385" i="6"/>
  <c r="S385" i="6" s="1"/>
  <c r="Z534" i="6"/>
  <c r="AI534" i="6" s="1"/>
  <c r="AL505" i="6"/>
  <c r="AF515" i="6"/>
  <c r="AF512" i="6"/>
  <c r="Z537" i="6"/>
  <c r="AI537" i="6" s="1"/>
  <c r="Z503" i="6"/>
  <c r="AF497" i="6"/>
  <c r="Z529" i="6"/>
  <c r="AI529" i="6" s="1"/>
  <c r="Z513" i="6"/>
  <c r="AI513" i="6" s="1"/>
  <c r="F156" i="6"/>
  <c r="E156" i="6" s="1"/>
  <c r="E123" i="6"/>
  <c r="S54" i="6"/>
  <c r="O24" i="6"/>
  <c r="F74" i="6"/>
  <c r="E74" i="6" s="1"/>
  <c r="E41" i="6"/>
  <c r="Q446" i="1"/>
  <c r="AO584" i="5"/>
  <c r="AO583" i="5"/>
  <c r="AN583" i="5"/>
  <c r="AI583" i="5"/>
  <c r="AH583" i="5"/>
  <c r="A583" i="5"/>
  <c r="AO582" i="5"/>
  <c r="AO581" i="5"/>
  <c r="AH581" i="5"/>
  <c r="AN581" i="5"/>
  <c r="AI581" i="5"/>
  <c r="AR580" i="5"/>
  <c r="AO580" i="5"/>
  <c r="AN580" i="5"/>
  <c r="AI580" i="5"/>
  <c r="AH580" i="5"/>
  <c r="AN579" i="5"/>
  <c r="AO579" i="5"/>
  <c r="AI579" i="5"/>
  <c r="AN578" i="5"/>
  <c r="Z568" i="5"/>
  <c r="AO567" i="5"/>
  <c r="AJ567" i="5"/>
  <c r="AO566" i="5"/>
  <c r="AO565" i="5"/>
  <c r="AO564" i="5"/>
  <c r="AO563" i="5"/>
  <c r="AO562" i="5"/>
  <c r="AO561" i="5"/>
  <c r="AO560" i="5"/>
  <c r="AO559" i="5"/>
  <c r="Z558" i="5"/>
  <c r="AO557" i="5"/>
  <c r="AL568" i="5"/>
  <c r="AH556" i="5"/>
  <c r="AI556" i="5" s="1"/>
  <c r="AH554" i="5"/>
  <c r="Z553" i="5"/>
  <c r="AO552" i="5"/>
  <c r="AO551" i="5"/>
  <c r="AO550" i="5"/>
  <c r="AO549" i="5"/>
  <c r="AN549" i="5"/>
  <c r="AN548" i="5"/>
  <c r="AO548" i="5" s="1"/>
  <c r="AI548" i="5"/>
  <c r="AH548" i="5"/>
  <c r="AI547" i="5"/>
  <c r="AH547" i="5"/>
  <c r="AI546" i="5"/>
  <c r="AN545" i="5"/>
  <c r="AI544" i="5"/>
  <c r="AH544" i="5"/>
  <c r="AN544" i="5"/>
  <c r="AO543" i="5"/>
  <c r="AN543" i="5"/>
  <c r="AI543" i="5"/>
  <c r="AH543" i="5"/>
  <c r="AI542" i="5"/>
  <c r="AN541" i="5"/>
  <c r="AI541" i="5"/>
  <c r="AO540" i="5"/>
  <c r="AN540" i="5"/>
  <c r="AI540" i="5"/>
  <c r="AH540" i="5"/>
  <c r="AH553" i="5" s="1"/>
  <c r="AN533" i="5"/>
  <c r="AO529" i="5"/>
  <c r="AO527" i="5"/>
  <c r="Z521" i="5"/>
  <c r="AI521" i="5" s="1"/>
  <c r="AO514" i="5"/>
  <c r="AO513" i="5"/>
  <c r="AO512" i="5"/>
  <c r="AO511" i="5"/>
  <c r="AO504" i="5"/>
  <c r="AK504" i="5"/>
  <c r="AO500" i="5"/>
  <c r="Q482" i="5"/>
  <c r="P482" i="5" s="1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S465" i="5"/>
  <c r="F482" i="5"/>
  <c r="E482" i="5" s="1"/>
  <c r="E464" i="5"/>
  <c r="S463" i="5"/>
  <c r="S462" i="5"/>
  <c r="S461" i="5"/>
  <c r="S460" i="5"/>
  <c r="S459" i="5"/>
  <c r="S458" i="5"/>
  <c r="S457" i="5"/>
  <c r="S456" i="5"/>
  <c r="S455" i="5"/>
  <c r="S454" i="5"/>
  <c r="Q464" i="5"/>
  <c r="L464" i="5"/>
  <c r="F464" i="5"/>
  <c r="R448" i="5"/>
  <c r="Q448" i="5"/>
  <c r="E448" i="5"/>
  <c r="S446" i="5"/>
  <c r="P445" i="5"/>
  <c r="F444" i="5"/>
  <c r="Q444" i="5"/>
  <c r="R443" i="5"/>
  <c r="L441" i="5"/>
  <c r="P442" i="5"/>
  <c r="R440" i="5"/>
  <c r="M440" i="5"/>
  <c r="K442" i="5"/>
  <c r="F438" i="5"/>
  <c r="R437" i="5"/>
  <c r="N428" i="5"/>
  <c r="F425" i="5"/>
  <c r="S424" i="5"/>
  <c r="N424" i="5"/>
  <c r="S422" i="5"/>
  <c r="N422" i="5"/>
  <c r="S420" i="5"/>
  <c r="N420" i="5"/>
  <c r="S419" i="5"/>
  <c r="N419" i="5"/>
  <c r="S418" i="5"/>
  <c r="N418" i="5"/>
  <c r="S415" i="5"/>
  <c r="N415" i="5"/>
  <c r="S414" i="5"/>
  <c r="N414" i="5"/>
  <c r="N413" i="5"/>
  <c r="L425" i="5"/>
  <c r="S411" i="5"/>
  <c r="S410" i="5"/>
  <c r="N410" i="5"/>
  <c r="S409" i="5"/>
  <c r="N409" i="5"/>
  <c r="N408" i="5"/>
  <c r="S408" i="5"/>
  <c r="S407" i="5"/>
  <c r="N407" i="5"/>
  <c r="N425" i="5" s="1"/>
  <c r="F406" i="5"/>
  <c r="S405" i="5"/>
  <c r="N405" i="5"/>
  <c r="S404" i="5"/>
  <c r="N404" i="5"/>
  <c r="S402" i="5"/>
  <c r="S401" i="5"/>
  <c r="N401" i="5"/>
  <c r="S400" i="5"/>
  <c r="Q406" i="5"/>
  <c r="N399" i="5"/>
  <c r="S399" i="5"/>
  <c r="S398" i="5"/>
  <c r="N398" i="5"/>
  <c r="S396" i="5"/>
  <c r="N396" i="5"/>
  <c r="S394" i="5"/>
  <c r="N394" i="5"/>
  <c r="P388" i="5"/>
  <c r="S388" i="5"/>
  <c r="R388" i="5" s="1"/>
  <c r="K388" i="5"/>
  <c r="M388" i="5"/>
  <c r="E388" i="5"/>
  <c r="R384" i="5"/>
  <c r="K384" i="5"/>
  <c r="N384" i="5"/>
  <c r="M384" i="5"/>
  <c r="S383" i="5"/>
  <c r="R383" i="5"/>
  <c r="P383" i="5"/>
  <c r="N383" i="5"/>
  <c r="E383" i="5"/>
  <c r="J380" i="5"/>
  <c r="F380" i="5"/>
  <c r="F385" i="5" s="1"/>
  <c r="R379" i="5"/>
  <c r="P379" i="5"/>
  <c r="S379" i="5"/>
  <c r="K379" i="5"/>
  <c r="E379" i="5"/>
  <c r="R378" i="5"/>
  <c r="P378" i="5"/>
  <c r="S378" i="5"/>
  <c r="K378" i="5"/>
  <c r="E378" i="5"/>
  <c r="R377" i="5"/>
  <c r="P377" i="5"/>
  <c r="N377" i="5"/>
  <c r="M377" i="5"/>
  <c r="S377" i="5"/>
  <c r="K377" i="5"/>
  <c r="E377" i="5"/>
  <c r="M376" i="5"/>
  <c r="K376" i="5"/>
  <c r="E376" i="5"/>
  <c r="R375" i="5"/>
  <c r="N375" i="5"/>
  <c r="M375" i="5"/>
  <c r="E375" i="5"/>
  <c r="R374" i="5"/>
  <c r="M374" i="5"/>
  <c r="S374" i="5"/>
  <c r="K374" i="5"/>
  <c r="N374" i="5"/>
  <c r="E374" i="5"/>
  <c r="R373" i="5"/>
  <c r="S373" i="5"/>
  <c r="P373" i="5"/>
  <c r="N373" i="5"/>
  <c r="K373" i="5"/>
  <c r="E373" i="5"/>
  <c r="R372" i="5"/>
  <c r="S372" i="5"/>
  <c r="P372" i="5"/>
  <c r="N372" i="5"/>
  <c r="K372" i="5"/>
  <c r="P371" i="5"/>
  <c r="N371" i="5"/>
  <c r="K371" i="5"/>
  <c r="E371" i="5"/>
  <c r="C367" i="5"/>
  <c r="C432" i="5" s="1"/>
  <c r="N364" i="5"/>
  <c r="F361" i="5"/>
  <c r="S359" i="5"/>
  <c r="N359" i="5"/>
  <c r="N358" i="5"/>
  <c r="S358" i="5"/>
  <c r="S357" i="5"/>
  <c r="N357" i="5"/>
  <c r="S356" i="5"/>
  <c r="S355" i="5"/>
  <c r="N355" i="5"/>
  <c r="S354" i="5"/>
  <c r="S353" i="5"/>
  <c r="S352" i="5"/>
  <c r="N352" i="5"/>
  <c r="S351" i="5"/>
  <c r="S350" i="5"/>
  <c r="S349" i="5"/>
  <c r="S348" i="5"/>
  <c r="N347" i="5"/>
  <c r="S347" i="5"/>
  <c r="S346" i="5"/>
  <c r="N346" i="5"/>
  <c r="S345" i="5"/>
  <c r="S344" i="5"/>
  <c r="Q361" i="5"/>
  <c r="F342" i="5"/>
  <c r="S341" i="5"/>
  <c r="N341" i="5"/>
  <c r="S340" i="5"/>
  <c r="N340" i="5"/>
  <c r="S339" i="5"/>
  <c r="N338" i="5"/>
  <c r="S338" i="5"/>
  <c r="S337" i="5"/>
  <c r="S335" i="5"/>
  <c r="S333" i="5"/>
  <c r="N333" i="5"/>
  <c r="S332" i="5"/>
  <c r="S331" i="5"/>
  <c r="N331" i="5"/>
  <c r="N330" i="5"/>
  <c r="L342" i="5"/>
  <c r="K326" i="5"/>
  <c r="R324" i="5"/>
  <c r="S324" i="5"/>
  <c r="N322" i="5"/>
  <c r="F322" i="5"/>
  <c r="S321" i="5"/>
  <c r="R321" i="5"/>
  <c r="N321" i="5"/>
  <c r="L322" i="5"/>
  <c r="M321" i="5"/>
  <c r="R318" i="5"/>
  <c r="Q316" i="5"/>
  <c r="L316" i="5"/>
  <c r="R315" i="5"/>
  <c r="S315" i="5"/>
  <c r="N315" i="5"/>
  <c r="N316" i="5" s="1"/>
  <c r="M315" i="5"/>
  <c r="N306" i="5"/>
  <c r="F303" i="5"/>
  <c r="S302" i="5"/>
  <c r="S301" i="5"/>
  <c r="S300" i="5"/>
  <c r="N300" i="5"/>
  <c r="S299" i="5"/>
  <c r="N298" i="5"/>
  <c r="S298" i="5"/>
  <c r="S297" i="5"/>
  <c r="N297" i="5"/>
  <c r="N296" i="5"/>
  <c r="S295" i="5"/>
  <c r="N295" i="5"/>
  <c r="S294" i="5"/>
  <c r="N294" i="5"/>
  <c r="S293" i="5"/>
  <c r="N293" i="5"/>
  <c r="N291" i="5"/>
  <c r="S291" i="5"/>
  <c r="S290" i="5"/>
  <c r="N290" i="5"/>
  <c r="S289" i="5"/>
  <c r="N289" i="5"/>
  <c r="S288" i="5"/>
  <c r="Q303" i="5"/>
  <c r="N288" i="5"/>
  <c r="S285" i="5"/>
  <c r="F284" i="5"/>
  <c r="S283" i="5"/>
  <c r="N283" i="5"/>
  <c r="S282" i="5"/>
  <c r="N282" i="5"/>
  <c r="S281" i="5"/>
  <c r="N281" i="5"/>
  <c r="S280" i="5"/>
  <c r="N280" i="5"/>
  <c r="S279" i="5"/>
  <c r="N279" i="5"/>
  <c r="S276" i="5"/>
  <c r="S275" i="5"/>
  <c r="N275" i="5"/>
  <c r="E275" i="5"/>
  <c r="S274" i="5"/>
  <c r="N274" i="5"/>
  <c r="S273" i="5"/>
  <c r="N273" i="5"/>
  <c r="N272" i="5"/>
  <c r="L266" i="5"/>
  <c r="R265" i="5"/>
  <c r="M265" i="5"/>
  <c r="L263" i="5"/>
  <c r="R262" i="5"/>
  <c r="F263" i="5"/>
  <c r="M262" i="5"/>
  <c r="O259" i="5"/>
  <c r="D259" i="5"/>
  <c r="S258" i="5"/>
  <c r="Q256" i="5"/>
  <c r="M256" i="5"/>
  <c r="L256" i="5"/>
  <c r="S256" i="5"/>
  <c r="P257" i="5"/>
  <c r="R255" i="5"/>
  <c r="S255" i="5"/>
  <c r="K257" i="5"/>
  <c r="M255" i="5"/>
  <c r="K254" i="5"/>
  <c r="R252" i="5"/>
  <c r="Q253" i="5"/>
  <c r="P254" i="5"/>
  <c r="N252" i="5"/>
  <c r="M252" i="5"/>
  <c r="E254" i="5"/>
  <c r="P251" i="5"/>
  <c r="S250" i="5"/>
  <c r="Q250" i="5"/>
  <c r="L250" i="5"/>
  <c r="S249" i="5"/>
  <c r="R249" i="5"/>
  <c r="N249" i="5"/>
  <c r="E248" i="5"/>
  <c r="P248" i="5"/>
  <c r="F237" i="5"/>
  <c r="S236" i="5"/>
  <c r="N236" i="5"/>
  <c r="S234" i="5"/>
  <c r="E233" i="5"/>
  <c r="D233" i="5" s="1"/>
  <c r="S232" i="5"/>
  <c r="N232" i="5"/>
  <c r="S230" i="5"/>
  <c r="N230" i="5"/>
  <c r="N237" i="5" s="1"/>
  <c r="F227" i="5"/>
  <c r="S225" i="5"/>
  <c r="N225" i="5"/>
  <c r="N224" i="5"/>
  <c r="S223" i="5"/>
  <c r="S222" i="5"/>
  <c r="S221" i="5"/>
  <c r="N221" i="5"/>
  <c r="S220" i="5"/>
  <c r="N220" i="5"/>
  <c r="S219" i="5"/>
  <c r="N219" i="5"/>
  <c r="S218" i="5"/>
  <c r="N218" i="5"/>
  <c r="S217" i="5"/>
  <c r="N217" i="5"/>
  <c r="S215" i="5"/>
  <c r="N213" i="5"/>
  <c r="N211" i="5"/>
  <c r="S211" i="5"/>
  <c r="Q227" i="5"/>
  <c r="S208" i="5"/>
  <c r="N208" i="5"/>
  <c r="S204" i="5"/>
  <c r="S203" i="5"/>
  <c r="N203" i="5"/>
  <c r="S202" i="5"/>
  <c r="N202" i="5"/>
  <c r="S201" i="5"/>
  <c r="S200" i="5"/>
  <c r="N200" i="5"/>
  <c r="S198" i="5"/>
  <c r="N198" i="5"/>
  <c r="L196" i="5"/>
  <c r="F196" i="5"/>
  <c r="N195" i="5"/>
  <c r="S195" i="5"/>
  <c r="N194" i="5"/>
  <c r="N193" i="5"/>
  <c r="N192" i="5"/>
  <c r="N191" i="5"/>
  <c r="N189" i="5"/>
  <c r="S189" i="5"/>
  <c r="N188" i="5"/>
  <c r="S187" i="5"/>
  <c r="N187" i="5"/>
  <c r="N186" i="5"/>
  <c r="U182" i="5"/>
  <c r="F182" i="5"/>
  <c r="N180" i="5"/>
  <c r="V179" i="5"/>
  <c r="P179" i="5"/>
  <c r="A179" i="5"/>
  <c r="V177" i="5"/>
  <c r="R177" i="5"/>
  <c r="R178" i="5" s="1"/>
  <c r="S177" i="5"/>
  <c r="P177" i="5"/>
  <c r="N177" i="5"/>
  <c r="K177" i="5"/>
  <c r="E177" i="5"/>
  <c r="S175" i="5"/>
  <c r="Q182" i="5"/>
  <c r="V175" i="5"/>
  <c r="E175" i="5"/>
  <c r="S169" i="5"/>
  <c r="C169" i="5"/>
  <c r="S162" i="5"/>
  <c r="N162" i="5"/>
  <c r="S161" i="5"/>
  <c r="N161" i="5"/>
  <c r="T160" i="5"/>
  <c r="S160" i="5"/>
  <c r="N160" i="5"/>
  <c r="S159" i="5"/>
  <c r="N159" i="5"/>
  <c r="L164" i="5"/>
  <c r="Q164" i="5"/>
  <c r="N158" i="5"/>
  <c r="S157" i="5"/>
  <c r="N153" i="5"/>
  <c r="S152" i="5"/>
  <c r="N152" i="5"/>
  <c r="N151" i="5"/>
  <c r="S151" i="5"/>
  <c r="S150" i="5"/>
  <c r="N150" i="5"/>
  <c r="S149" i="5"/>
  <c r="N149" i="5"/>
  <c r="S148" i="5"/>
  <c r="S147" i="5"/>
  <c r="N146" i="5"/>
  <c r="S146" i="5"/>
  <c r="N145" i="5"/>
  <c r="N144" i="5"/>
  <c r="S144" i="5"/>
  <c r="S143" i="5"/>
  <c r="N143" i="5"/>
  <c r="S142" i="5"/>
  <c r="N142" i="5"/>
  <c r="N141" i="5"/>
  <c r="S141" i="5"/>
  <c r="S140" i="5"/>
  <c r="N140" i="5"/>
  <c r="S139" i="5"/>
  <c r="N139" i="5"/>
  <c r="S138" i="5"/>
  <c r="N137" i="5"/>
  <c r="S137" i="5"/>
  <c r="F154" i="5"/>
  <c r="F136" i="5"/>
  <c r="N135" i="5"/>
  <c r="S135" i="5"/>
  <c r="N134" i="5"/>
  <c r="S133" i="5"/>
  <c r="N133" i="5"/>
  <c r="N132" i="5"/>
  <c r="S132" i="5"/>
  <c r="S131" i="5"/>
  <c r="N131" i="5"/>
  <c r="S130" i="5"/>
  <c r="N130" i="5"/>
  <c r="S129" i="5"/>
  <c r="S128" i="5"/>
  <c r="N127" i="5"/>
  <c r="S126" i="5"/>
  <c r="N126" i="5"/>
  <c r="Q136" i="5"/>
  <c r="S124" i="5"/>
  <c r="F123" i="5"/>
  <c r="S122" i="5"/>
  <c r="N122" i="5"/>
  <c r="S120" i="5"/>
  <c r="S119" i="5"/>
  <c r="N119" i="5"/>
  <c r="S117" i="5"/>
  <c r="S116" i="5"/>
  <c r="N116" i="5"/>
  <c r="D114" i="5"/>
  <c r="S113" i="5"/>
  <c r="U109" i="5"/>
  <c r="N105" i="5"/>
  <c r="E105" i="5"/>
  <c r="S104" i="5"/>
  <c r="N104" i="5"/>
  <c r="E104" i="5"/>
  <c r="Q106" i="5"/>
  <c r="F106" i="5"/>
  <c r="E103" i="5"/>
  <c r="P101" i="5"/>
  <c r="R101" i="5"/>
  <c r="M101" i="5"/>
  <c r="K101" i="5"/>
  <c r="E101" i="5"/>
  <c r="A100" i="5"/>
  <c r="R99" i="5"/>
  <c r="P99" i="5"/>
  <c r="M99" i="5"/>
  <c r="S99" i="5"/>
  <c r="K99" i="5"/>
  <c r="A99" i="5"/>
  <c r="E98" i="5"/>
  <c r="A98" i="5"/>
  <c r="Q97" i="5"/>
  <c r="O97" i="5"/>
  <c r="P160" i="5" s="1"/>
  <c r="O160" i="5" s="1"/>
  <c r="A97" i="5"/>
  <c r="R96" i="5"/>
  <c r="S96" i="5"/>
  <c r="P96" i="5"/>
  <c r="E96" i="5"/>
  <c r="A96" i="5"/>
  <c r="N96" i="5" s="1"/>
  <c r="S95" i="5"/>
  <c r="P95" i="5"/>
  <c r="R95" i="5"/>
  <c r="E95" i="5"/>
  <c r="P94" i="5"/>
  <c r="S94" i="5"/>
  <c r="S97" i="5" s="1"/>
  <c r="M94" i="5"/>
  <c r="F97" i="5"/>
  <c r="F109" i="5" s="1"/>
  <c r="E94" i="5"/>
  <c r="T82" i="5"/>
  <c r="N82" i="5"/>
  <c r="N81" i="5"/>
  <c r="S81" i="5"/>
  <c r="S80" i="5"/>
  <c r="N80" i="5"/>
  <c r="S79" i="5"/>
  <c r="N76" i="5"/>
  <c r="F83" i="5"/>
  <c r="L72" i="5"/>
  <c r="S71" i="5"/>
  <c r="N71" i="5"/>
  <c r="S69" i="5"/>
  <c r="N69" i="5"/>
  <c r="S68" i="5"/>
  <c r="N68" i="5"/>
  <c r="N67" i="5"/>
  <c r="S67" i="5"/>
  <c r="S66" i="5"/>
  <c r="N66" i="5"/>
  <c r="S65" i="5"/>
  <c r="N64" i="5"/>
  <c r="S64" i="5"/>
  <c r="S63" i="5"/>
  <c r="S62" i="5"/>
  <c r="N62" i="5"/>
  <c r="S61" i="5"/>
  <c r="N61" i="5"/>
  <c r="S59" i="5"/>
  <c r="S58" i="5"/>
  <c r="N58" i="5"/>
  <c r="N57" i="5"/>
  <c r="S56" i="5"/>
  <c r="N56" i="5"/>
  <c r="Q72" i="5"/>
  <c r="N55" i="5"/>
  <c r="N72" i="5" s="1"/>
  <c r="S55" i="5"/>
  <c r="F72" i="5"/>
  <c r="S53" i="5"/>
  <c r="N53" i="5"/>
  <c r="D53" i="5"/>
  <c r="S52" i="5"/>
  <c r="N52" i="5"/>
  <c r="N51" i="5"/>
  <c r="S51" i="5"/>
  <c r="S50" i="5"/>
  <c r="N50" i="5"/>
  <c r="S49" i="5"/>
  <c r="N49" i="5"/>
  <c r="S48" i="5"/>
  <c r="N47" i="5"/>
  <c r="S47" i="5"/>
  <c r="S46" i="5"/>
  <c r="N46" i="5"/>
  <c r="S45" i="5"/>
  <c r="N45" i="5"/>
  <c r="Q54" i="5"/>
  <c r="N43" i="5"/>
  <c r="S42" i="5"/>
  <c r="F54" i="5"/>
  <c r="P40" i="5"/>
  <c r="E40" i="5"/>
  <c r="U39" i="5"/>
  <c r="S39" i="5"/>
  <c r="P39" i="5"/>
  <c r="N39" i="5"/>
  <c r="N38" i="5"/>
  <c r="S37" i="5"/>
  <c r="N37" i="5"/>
  <c r="S36" i="5"/>
  <c r="N36" i="5"/>
  <c r="E36" i="5"/>
  <c r="P35" i="5"/>
  <c r="L41" i="5"/>
  <c r="S34" i="5"/>
  <c r="K34" i="5"/>
  <c r="N34" i="5"/>
  <c r="E34" i="5"/>
  <c r="T33" i="5"/>
  <c r="S33" i="5"/>
  <c r="S32" i="5"/>
  <c r="N32" i="5"/>
  <c r="Q41" i="5"/>
  <c r="N31" i="5"/>
  <c r="F41" i="5"/>
  <c r="U27" i="5"/>
  <c r="D27" i="5"/>
  <c r="E27" i="5" s="1"/>
  <c r="S23" i="5"/>
  <c r="E23" i="5"/>
  <c r="E22" i="5"/>
  <c r="S21" i="5"/>
  <c r="Q24" i="5"/>
  <c r="E21" i="5"/>
  <c r="V17" i="5"/>
  <c r="S17" i="5"/>
  <c r="R17" i="5"/>
  <c r="P17" i="5"/>
  <c r="K17" i="5"/>
  <c r="M17" i="5"/>
  <c r="N17" i="5"/>
  <c r="E17" i="5"/>
  <c r="P15" i="5"/>
  <c r="R15" i="5"/>
  <c r="D24" i="5"/>
  <c r="E39" i="5" s="1"/>
  <c r="M14" i="5"/>
  <c r="D13" i="5"/>
  <c r="E13" i="5" s="1"/>
  <c r="S12" i="5"/>
  <c r="P12" i="5"/>
  <c r="N12" i="5"/>
  <c r="M12" i="5"/>
  <c r="E12" i="5"/>
  <c r="R11" i="5"/>
  <c r="N11" i="5"/>
  <c r="K11" i="5"/>
  <c r="M11" i="5"/>
  <c r="E11" i="5"/>
  <c r="R10" i="5"/>
  <c r="P10" i="5"/>
  <c r="M10" i="5"/>
  <c r="E10" i="5"/>
  <c r="S9" i="5"/>
  <c r="P9" i="5"/>
  <c r="N9" i="5"/>
  <c r="E9" i="5"/>
  <c r="W8" i="5"/>
  <c r="P8" i="5"/>
  <c r="N8" i="5"/>
  <c r="R8" i="5"/>
  <c r="E8" i="5"/>
  <c r="P7" i="5"/>
  <c r="S7" i="5"/>
  <c r="N7" i="5"/>
  <c r="E7" i="5"/>
  <c r="P6" i="5"/>
  <c r="F13" i="5"/>
  <c r="E6" i="5"/>
  <c r="AO584" i="15"/>
  <c r="AO583" i="15"/>
  <c r="AN583" i="15"/>
  <c r="A583" i="15"/>
  <c r="AI583" i="15" s="1"/>
  <c r="AO582" i="15"/>
  <c r="AO581" i="15"/>
  <c r="AN581" i="15"/>
  <c r="AH581" i="15"/>
  <c r="AI581" i="15"/>
  <c r="AO580" i="15"/>
  <c r="AN580" i="15"/>
  <c r="AI580" i="15"/>
  <c r="AO579" i="15"/>
  <c r="AN579" i="15"/>
  <c r="AI579" i="15"/>
  <c r="AI578" i="15"/>
  <c r="AH578" i="15"/>
  <c r="AN578" i="15"/>
  <c r="AO566" i="15"/>
  <c r="AO565" i="15"/>
  <c r="AO564" i="15"/>
  <c r="AO563" i="15"/>
  <c r="AO562" i="15"/>
  <c r="AO561" i="15"/>
  <c r="AO560" i="15"/>
  <c r="AO559" i="15"/>
  <c r="AO557" i="15"/>
  <c r="AN556" i="15"/>
  <c r="AO556" i="15" s="1"/>
  <c r="AH554" i="15"/>
  <c r="AO552" i="15"/>
  <c r="AO551" i="15"/>
  <c r="AO550" i="15"/>
  <c r="AO549" i="15"/>
  <c r="AN549" i="15"/>
  <c r="AN548" i="15"/>
  <c r="AO548" i="15" s="1"/>
  <c r="AI548" i="15"/>
  <c r="AH548" i="15"/>
  <c r="AN547" i="15"/>
  <c r="AO547" i="15" s="1"/>
  <c r="AI547" i="15"/>
  <c r="AN546" i="15"/>
  <c r="AO546" i="15" s="1"/>
  <c r="AI546" i="15"/>
  <c r="AI545" i="15"/>
  <c r="AH545" i="15"/>
  <c r="AN544" i="15"/>
  <c r="AO544" i="15"/>
  <c r="AI544" i="15"/>
  <c r="AH544" i="15"/>
  <c r="AI543" i="15"/>
  <c r="AH543" i="15"/>
  <c r="AI542" i="15"/>
  <c r="AO541" i="15"/>
  <c r="AN541" i="15"/>
  <c r="AI541" i="15"/>
  <c r="AI540" i="15"/>
  <c r="AO533" i="15"/>
  <c r="AN533" i="15"/>
  <c r="AO529" i="15"/>
  <c r="AO527" i="15"/>
  <c r="AN526" i="15"/>
  <c r="AO526" i="15" s="1"/>
  <c r="AO514" i="15"/>
  <c r="AO513" i="15"/>
  <c r="AO512" i="15"/>
  <c r="AO511" i="15"/>
  <c r="AI507" i="15"/>
  <c r="AH507" i="15"/>
  <c r="AO504" i="15"/>
  <c r="AK504" i="15"/>
  <c r="AO500" i="15"/>
  <c r="Q482" i="15"/>
  <c r="S481" i="15"/>
  <c r="S480" i="15"/>
  <c r="S479" i="15"/>
  <c r="S478" i="15"/>
  <c r="S477" i="15"/>
  <c r="S476" i="15"/>
  <c r="S475" i="15"/>
  <c r="S474" i="15"/>
  <c r="S473" i="15"/>
  <c r="S472" i="15"/>
  <c r="S471" i="15"/>
  <c r="S470" i="15"/>
  <c r="S469" i="15"/>
  <c r="S468" i="15"/>
  <c r="S467" i="15"/>
  <c r="S466" i="15"/>
  <c r="S465" i="15"/>
  <c r="F482" i="15"/>
  <c r="E482" i="15" s="1"/>
  <c r="L464" i="15"/>
  <c r="S463" i="15"/>
  <c r="S462" i="15"/>
  <c r="S461" i="15"/>
  <c r="S460" i="15"/>
  <c r="S459" i="15"/>
  <c r="S458" i="15"/>
  <c r="S457" i="15"/>
  <c r="S456" i="15"/>
  <c r="S455" i="15"/>
  <c r="S454" i="15"/>
  <c r="S453" i="15"/>
  <c r="R448" i="15"/>
  <c r="E448" i="15"/>
  <c r="S446" i="15"/>
  <c r="P445" i="15"/>
  <c r="K445" i="15"/>
  <c r="F444" i="15"/>
  <c r="R443" i="15"/>
  <c r="Q444" i="15"/>
  <c r="M443" i="15"/>
  <c r="Q441" i="15"/>
  <c r="P442" i="15"/>
  <c r="R440" i="15"/>
  <c r="F441" i="15"/>
  <c r="Q438" i="15"/>
  <c r="F438" i="15"/>
  <c r="R437" i="15"/>
  <c r="Q448" i="15"/>
  <c r="P439" i="15"/>
  <c r="N428" i="15"/>
  <c r="F425" i="15"/>
  <c r="S424" i="15"/>
  <c r="N424" i="15"/>
  <c r="S423" i="15"/>
  <c r="N423" i="15"/>
  <c r="S422" i="15"/>
  <c r="N422" i="15"/>
  <c r="S420" i="15"/>
  <c r="N420" i="15"/>
  <c r="S419" i="15"/>
  <c r="N419" i="15"/>
  <c r="S418" i="15"/>
  <c r="S417" i="15"/>
  <c r="N417" i="15"/>
  <c r="N416" i="15"/>
  <c r="S416" i="15"/>
  <c r="S414" i="15"/>
  <c r="N414" i="15"/>
  <c r="S413" i="15"/>
  <c r="N413" i="15"/>
  <c r="S412" i="15"/>
  <c r="N412" i="15"/>
  <c r="N410" i="15"/>
  <c r="S409" i="15"/>
  <c r="N409" i="15"/>
  <c r="S407" i="15"/>
  <c r="N407" i="15"/>
  <c r="S405" i="15"/>
  <c r="N405" i="15"/>
  <c r="S404" i="15"/>
  <c r="N404" i="15"/>
  <c r="S403" i="15"/>
  <c r="N403" i="15"/>
  <c r="N401" i="15"/>
  <c r="S401" i="15"/>
  <c r="S400" i="15"/>
  <c r="S398" i="15"/>
  <c r="N398" i="15"/>
  <c r="S397" i="15"/>
  <c r="N397" i="15"/>
  <c r="Q406" i="15"/>
  <c r="N396" i="15"/>
  <c r="P388" i="15"/>
  <c r="M388" i="15"/>
  <c r="K388" i="15"/>
  <c r="E388" i="15"/>
  <c r="S384" i="15"/>
  <c r="M384" i="15"/>
  <c r="N384" i="15"/>
  <c r="E384" i="15"/>
  <c r="R383" i="15"/>
  <c r="P383" i="15"/>
  <c r="E383" i="15"/>
  <c r="R379" i="15"/>
  <c r="S379" i="15"/>
  <c r="K379" i="15"/>
  <c r="E379" i="15"/>
  <c r="R378" i="15"/>
  <c r="N378" i="15"/>
  <c r="S378" i="15"/>
  <c r="K378" i="15"/>
  <c r="E378" i="15"/>
  <c r="S377" i="15"/>
  <c r="R377" i="15"/>
  <c r="M377" i="15"/>
  <c r="K377" i="15"/>
  <c r="N377" i="15"/>
  <c r="E377" i="15"/>
  <c r="N376" i="15"/>
  <c r="S376" i="15"/>
  <c r="K376" i="15"/>
  <c r="M376" i="15"/>
  <c r="E376" i="15"/>
  <c r="P375" i="15"/>
  <c r="M375" i="15"/>
  <c r="E375" i="15"/>
  <c r="P374" i="15"/>
  <c r="M374" i="15"/>
  <c r="K374" i="15"/>
  <c r="R374" i="15"/>
  <c r="E374" i="15"/>
  <c r="R373" i="15"/>
  <c r="N373" i="15"/>
  <c r="M373" i="15"/>
  <c r="S373" i="15"/>
  <c r="E373" i="15"/>
  <c r="S372" i="15"/>
  <c r="R372" i="15"/>
  <c r="P372" i="15"/>
  <c r="M372" i="15"/>
  <c r="N372" i="15"/>
  <c r="K372" i="15"/>
  <c r="E372" i="15"/>
  <c r="S371" i="15"/>
  <c r="Q380" i="15"/>
  <c r="Q385" i="15" s="1"/>
  <c r="N371" i="15"/>
  <c r="K371" i="15"/>
  <c r="M371" i="15"/>
  <c r="N364" i="15"/>
  <c r="S360" i="15"/>
  <c r="S359" i="15"/>
  <c r="N359" i="15"/>
  <c r="S358" i="15"/>
  <c r="N358" i="15"/>
  <c r="S357" i="15"/>
  <c r="N357" i="15"/>
  <c r="N356" i="15"/>
  <c r="S356" i="15"/>
  <c r="N355" i="15"/>
  <c r="N353" i="15"/>
  <c r="S352" i="15"/>
  <c r="N352" i="15"/>
  <c r="S351" i="15"/>
  <c r="N351" i="15"/>
  <c r="S350" i="15"/>
  <c r="S348" i="15"/>
  <c r="N348" i="15"/>
  <c r="S347" i="15"/>
  <c r="N347" i="15"/>
  <c r="S346" i="15"/>
  <c r="N346" i="15"/>
  <c r="S345" i="15"/>
  <c r="N345" i="15"/>
  <c r="Q361" i="15"/>
  <c r="N344" i="15"/>
  <c r="N343" i="15"/>
  <c r="S340" i="15"/>
  <c r="N340" i="15"/>
  <c r="S339" i="15"/>
  <c r="N339" i="15"/>
  <c r="S338" i="15"/>
  <c r="N338" i="15"/>
  <c r="S337" i="15"/>
  <c r="N337" i="15"/>
  <c r="S335" i="15"/>
  <c r="S334" i="15"/>
  <c r="N334" i="15"/>
  <c r="N333" i="15"/>
  <c r="S332" i="15"/>
  <c r="S331" i="15"/>
  <c r="S330" i="15"/>
  <c r="N330" i="15"/>
  <c r="R324" i="15"/>
  <c r="S324" i="15"/>
  <c r="S322" i="15"/>
  <c r="Q322" i="15"/>
  <c r="F322" i="15"/>
  <c r="R321" i="15"/>
  <c r="M321" i="15"/>
  <c r="F319" i="15"/>
  <c r="R318" i="15"/>
  <c r="Q319" i="15"/>
  <c r="M318" i="15"/>
  <c r="K326" i="15"/>
  <c r="R315" i="15"/>
  <c r="P326" i="15"/>
  <c r="N315" i="15"/>
  <c r="N316" i="15" s="1"/>
  <c r="M315" i="15"/>
  <c r="F326" i="15"/>
  <c r="F327" i="15" s="1"/>
  <c r="E326" i="15"/>
  <c r="N306" i="15"/>
  <c r="N302" i="15"/>
  <c r="N301" i="15"/>
  <c r="S301" i="15"/>
  <c r="S299" i="15"/>
  <c r="N299" i="15"/>
  <c r="S298" i="15"/>
  <c r="N298" i="15"/>
  <c r="S297" i="15"/>
  <c r="N297" i="15"/>
  <c r="S296" i="15"/>
  <c r="N296" i="15"/>
  <c r="S295" i="15"/>
  <c r="S294" i="15"/>
  <c r="N294" i="15"/>
  <c r="S293" i="15"/>
  <c r="S292" i="15"/>
  <c r="N292" i="15"/>
  <c r="S291" i="15"/>
  <c r="N291" i="15"/>
  <c r="S290" i="15"/>
  <c r="S289" i="15"/>
  <c r="N289" i="15"/>
  <c r="S288" i="15"/>
  <c r="S287" i="15"/>
  <c r="N287" i="15"/>
  <c r="S286" i="15"/>
  <c r="N286" i="15"/>
  <c r="N283" i="15"/>
  <c r="S283" i="15"/>
  <c r="S282" i="15"/>
  <c r="N282" i="15"/>
  <c r="S281" i="15"/>
  <c r="S280" i="15"/>
  <c r="N280" i="15"/>
  <c r="S279" i="15"/>
  <c r="S278" i="15"/>
  <c r="N278" i="15"/>
  <c r="S277" i="15"/>
  <c r="N277" i="15"/>
  <c r="N275" i="15"/>
  <c r="S275" i="15"/>
  <c r="S274" i="15"/>
  <c r="S273" i="15"/>
  <c r="N273" i="15"/>
  <c r="Q284" i="15"/>
  <c r="F284" i="15"/>
  <c r="Q266" i="15"/>
  <c r="R265" i="15"/>
  <c r="M265" i="15"/>
  <c r="F266" i="15"/>
  <c r="R262" i="15"/>
  <c r="N262" i="15"/>
  <c r="L263" i="15"/>
  <c r="M262" i="15"/>
  <c r="J259" i="15"/>
  <c r="F259" i="15"/>
  <c r="S258" i="15"/>
  <c r="N258" i="15"/>
  <c r="S256" i="15"/>
  <c r="Q256" i="15"/>
  <c r="M256" i="15"/>
  <c r="R255" i="15"/>
  <c r="P257" i="15"/>
  <c r="M255" i="15"/>
  <c r="S255" i="15"/>
  <c r="K257" i="15"/>
  <c r="F256" i="15"/>
  <c r="L253" i="15"/>
  <c r="N253" i="15" s="1"/>
  <c r="F253" i="15"/>
  <c r="S252" i="15"/>
  <c r="S253" i="15" s="1"/>
  <c r="R252" i="15"/>
  <c r="N252" i="15"/>
  <c r="K254" i="15"/>
  <c r="M252" i="15"/>
  <c r="E251" i="15"/>
  <c r="L250" i="15"/>
  <c r="O259" i="15"/>
  <c r="K251" i="15"/>
  <c r="F250" i="15"/>
  <c r="P248" i="15"/>
  <c r="K248" i="15"/>
  <c r="F247" i="15"/>
  <c r="R246" i="15"/>
  <c r="S236" i="15"/>
  <c r="S235" i="15"/>
  <c r="N235" i="15"/>
  <c r="S234" i="15"/>
  <c r="N234" i="15"/>
  <c r="N233" i="15"/>
  <c r="S233" i="15"/>
  <c r="E233" i="15"/>
  <c r="D233" i="15" s="1"/>
  <c r="N232" i="15"/>
  <c r="L237" i="15"/>
  <c r="S230" i="15"/>
  <c r="S226" i="15"/>
  <c r="N226" i="15"/>
  <c r="N225" i="15"/>
  <c r="S225" i="15"/>
  <c r="N224" i="15"/>
  <c r="S223" i="15"/>
  <c r="N223" i="15"/>
  <c r="S222" i="15"/>
  <c r="N222" i="15"/>
  <c r="S221" i="15"/>
  <c r="N221" i="15"/>
  <c r="S220" i="15"/>
  <c r="N220" i="15"/>
  <c r="N219" i="15"/>
  <c r="S219" i="15"/>
  <c r="S218" i="15"/>
  <c r="N218" i="15"/>
  <c r="S216" i="15"/>
  <c r="N216" i="15"/>
  <c r="S215" i="15"/>
  <c r="N215" i="15"/>
  <c r="S214" i="15"/>
  <c r="N213" i="15"/>
  <c r="S213" i="15"/>
  <c r="S211" i="15"/>
  <c r="S210" i="15"/>
  <c r="N210" i="15"/>
  <c r="S207" i="15"/>
  <c r="N207" i="15"/>
  <c r="N206" i="15"/>
  <c r="S205" i="15"/>
  <c r="N205" i="15"/>
  <c r="N204" i="15"/>
  <c r="S204" i="15"/>
  <c r="S202" i="15"/>
  <c r="N202" i="15"/>
  <c r="S201" i="15"/>
  <c r="N201" i="15"/>
  <c r="N200" i="15"/>
  <c r="S199" i="15"/>
  <c r="N199" i="15"/>
  <c r="S198" i="15"/>
  <c r="S197" i="15"/>
  <c r="F209" i="15"/>
  <c r="N195" i="15"/>
  <c r="S195" i="15"/>
  <c r="S194" i="15"/>
  <c r="N194" i="15"/>
  <c r="S192" i="15"/>
  <c r="N192" i="15"/>
  <c r="S191" i="15"/>
  <c r="N191" i="15"/>
  <c r="S190" i="15"/>
  <c r="N190" i="15"/>
  <c r="S188" i="15"/>
  <c r="N188" i="15"/>
  <c r="N187" i="15"/>
  <c r="D187" i="15"/>
  <c r="N186" i="15"/>
  <c r="D186" i="15"/>
  <c r="U182" i="15"/>
  <c r="F182" i="15"/>
  <c r="N180" i="15"/>
  <c r="V179" i="15"/>
  <c r="P179" i="15"/>
  <c r="S179" i="15"/>
  <c r="S180" i="15" s="1"/>
  <c r="E179" i="15"/>
  <c r="A179" i="15"/>
  <c r="S178" i="15"/>
  <c r="R177" i="15"/>
  <c r="R178" i="15" s="1"/>
  <c r="N177" i="15"/>
  <c r="M177" i="15"/>
  <c r="E177" i="15"/>
  <c r="R175" i="15"/>
  <c r="R176" i="15" s="1"/>
  <c r="Q182" i="15"/>
  <c r="O182" i="15"/>
  <c r="V175" i="15"/>
  <c r="K175" i="15"/>
  <c r="M175" i="15"/>
  <c r="E175" i="15"/>
  <c r="S169" i="15"/>
  <c r="L164" i="15"/>
  <c r="S163" i="15"/>
  <c r="N163" i="15"/>
  <c r="S162" i="15"/>
  <c r="N162" i="15"/>
  <c r="S161" i="15"/>
  <c r="N161" i="15"/>
  <c r="S160" i="15"/>
  <c r="S159" i="15"/>
  <c r="N159" i="15"/>
  <c r="S158" i="15"/>
  <c r="N158" i="15"/>
  <c r="S157" i="15"/>
  <c r="N157" i="15"/>
  <c r="S153" i="15"/>
  <c r="N152" i="15"/>
  <c r="S151" i="15"/>
  <c r="S149" i="15"/>
  <c r="N149" i="15"/>
  <c r="S148" i="15"/>
  <c r="N148" i="15"/>
  <c r="S147" i="15"/>
  <c r="N147" i="15"/>
  <c r="S146" i="15"/>
  <c r="N146" i="15"/>
  <c r="S145" i="15"/>
  <c r="S144" i="15"/>
  <c r="S143" i="15"/>
  <c r="S142" i="15"/>
  <c r="N142" i="15"/>
  <c r="S141" i="15"/>
  <c r="N141" i="15"/>
  <c r="S140" i="15"/>
  <c r="N139" i="15"/>
  <c r="S139" i="15"/>
  <c r="L154" i="15"/>
  <c r="S137" i="15"/>
  <c r="N137" i="15"/>
  <c r="S135" i="15"/>
  <c r="S134" i="15"/>
  <c r="S133" i="15"/>
  <c r="N133" i="15"/>
  <c r="S132" i="15"/>
  <c r="N132" i="15"/>
  <c r="N130" i="15"/>
  <c r="S130" i="15"/>
  <c r="S128" i="15"/>
  <c r="N128" i="15"/>
  <c r="S127" i="15"/>
  <c r="N127" i="15"/>
  <c r="S126" i="15"/>
  <c r="N126" i="15"/>
  <c r="S125" i="15"/>
  <c r="N125" i="15"/>
  <c r="F136" i="15"/>
  <c r="S122" i="15"/>
  <c r="N122" i="15"/>
  <c r="S121" i="15"/>
  <c r="N120" i="15"/>
  <c r="S120" i="15"/>
  <c r="S119" i="15"/>
  <c r="N119" i="15"/>
  <c r="S118" i="15"/>
  <c r="S117" i="15"/>
  <c r="S116" i="15"/>
  <c r="N116" i="15"/>
  <c r="S115" i="15"/>
  <c r="S114" i="15"/>
  <c r="J114" i="15"/>
  <c r="N114" i="15"/>
  <c r="S113" i="15"/>
  <c r="N113" i="15"/>
  <c r="U109" i="15"/>
  <c r="Q106" i="15"/>
  <c r="P105" i="15"/>
  <c r="N105" i="15"/>
  <c r="E105" i="15"/>
  <c r="N104" i="15"/>
  <c r="S104" i="15"/>
  <c r="E104" i="15"/>
  <c r="L106" i="15"/>
  <c r="F106" i="15"/>
  <c r="D114" i="15" s="1"/>
  <c r="E103" i="15"/>
  <c r="P101" i="15"/>
  <c r="K101" i="15"/>
  <c r="E101" i="15"/>
  <c r="A100" i="15"/>
  <c r="R99" i="15"/>
  <c r="P99" i="15"/>
  <c r="M99" i="15"/>
  <c r="K99" i="15"/>
  <c r="A99" i="15"/>
  <c r="E98" i="15"/>
  <c r="A98" i="15"/>
  <c r="O97" i="15"/>
  <c r="A97" i="15"/>
  <c r="R96" i="15"/>
  <c r="P96" i="15"/>
  <c r="K96" i="15"/>
  <c r="A96" i="15"/>
  <c r="S95" i="15"/>
  <c r="R95" i="15"/>
  <c r="P95" i="15"/>
  <c r="K95" i="15"/>
  <c r="N95" i="15"/>
  <c r="E95" i="15"/>
  <c r="S94" i="15"/>
  <c r="S97" i="15" s="1"/>
  <c r="P94" i="15"/>
  <c r="L97" i="15"/>
  <c r="V97" i="15" s="1"/>
  <c r="R94" i="15"/>
  <c r="R97" i="15" s="1"/>
  <c r="R98" i="15" s="1"/>
  <c r="E94" i="15"/>
  <c r="Q83" i="15"/>
  <c r="S82" i="15"/>
  <c r="S81" i="15"/>
  <c r="N81" i="15"/>
  <c r="S80" i="15"/>
  <c r="S79" i="15"/>
  <c r="S77" i="15"/>
  <c r="S75" i="15"/>
  <c r="S70" i="15"/>
  <c r="S69" i="15"/>
  <c r="N69" i="15"/>
  <c r="S68" i="15"/>
  <c r="N68" i="15"/>
  <c r="S67" i="15"/>
  <c r="N67" i="15"/>
  <c r="S66" i="15"/>
  <c r="S65" i="15"/>
  <c r="S64" i="15"/>
  <c r="S63" i="15"/>
  <c r="N63" i="15"/>
  <c r="S62" i="15"/>
  <c r="N62" i="15"/>
  <c r="N61" i="15"/>
  <c r="S60" i="15"/>
  <c r="S58" i="15"/>
  <c r="N58" i="15"/>
  <c r="S57" i="15"/>
  <c r="N57" i="15"/>
  <c r="S56" i="15"/>
  <c r="N56" i="15"/>
  <c r="L72" i="15"/>
  <c r="N55" i="15"/>
  <c r="S53" i="15"/>
  <c r="N53" i="15"/>
  <c r="D53" i="15"/>
  <c r="S52" i="15"/>
  <c r="N52" i="15"/>
  <c r="S51" i="15"/>
  <c r="N51" i="15"/>
  <c r="S50" i="15"/>
  <c r="S49" i="15"/>
  <c r="S48" i="15"/>
  <c r="S47" i="15"/>
  <c r="N47" i="15"/>
  <c r="S46" i="15"/>
  <c r="N46" i="15"/>
  <c r="Q54" i="15"/>
  <c r="N45" i="15"/>
  <c r="S44" i="15"/>
  <c r="S42" i="15"/>
  <c r="N42" i="15"/>
  <c r="P40" i="15"/>
  <c r="S40" i="15"/>
  <c r="U39" i="15"/>
  <c r="S39" i="15"/>
  <c r="P39" i="15"/>
  <c r="N39" i="15"/>
  <c r="K38" i="15"/>
  <c r="N37" i="15"/>
  <c r="S37" i="15"/>
  <c r="N36" i="15"/>
  <c r="P35" i="15"/>
  <c r="N34" i="15"/>
  <c r="S34" i="15"/>
  <c r="S33" i="15"/>
  <c r="N33" i="15"/>
  <c r="K32" i="15"/>
  <c r="K31" i="15"/>
  <c r="U27" i="15"/>
  <c r="V24" i="15"/>
  <c r="L24" i="15"/>
  <c r="J24" i="15"/>
  <c r="F24" i="15"/>
  <c r="N23" i="15"/>
  <c r="S23" i="15"/>
  <c r="E23" i="15"/>
  <c r="S22" i="15"/>
  <c r="N22" i="15"/>
  <c r="E22" i="15"/>
  <c r="Q24" i="15"/>
  <c r="S24" i="15" s="1"/>
  <c r="N21" i="15"/>
  <c r="E21" i="15"/>
  <c r="R17" i="15"/>
  <c r="P17" i="15"/>
  <c r="N17" i="15"/>
  <c r="M17" i="15"/>
  <c r="E17" i="15"/>
  <c r="R15" i="15"/>
  <c r="S15" i="15"/>
  <c r="P15" i="15"/>
  <c r="N15" i="15"/>
  <c r="K15" i="15"/>
  <c r="N14" i="15"/>
  <c r="L13" i="15"/>
  <c r="J13" i="15"/>
  <c r="R12" i="15"/>
  <c r="P12" i="15"/>
  <c r="M12" i="15"/>
  <c r="S12" i="15"/>
  <c r="K12" i="15"/>
  <c r="E12" i="15"/>
  <c r="M11" i="15"/>
  <c r="S11" i="15"/>
  <c r="K11" i="15"/>
  <c r="E11" i="15"/>
  <c r="S10" i="15"/>
  <c r="P10" i="15"/>
  <c r="N10" i="15"/>
  <c r="M10" i="15"/>
  <c r="K10" i="15"/>
  <c r="E10" i="15"/>
  <c r="S9" i="15"/>
  <c r="P9" i="15"/>
  <c r="N9" i="15"/>
  <c r="M9" i="15"/>
  <c r="E9" i="15"/>
  <c r="W8" i="15"/>
  <c r="R8" i="15"/>
  <c r="S8" i="15"/>
  <c r="P8" i="15"/>
  <c r="N8" i="15"/>
  <c r="K8" i="15"/>
  <c r="E8" i="15"/>
  <c r="R7" i="15"/>
  <c r="P7" i="15"/>
  <c r="N7" i="15"/>
  <c r="K7" i="15"/>
  <c r="M7" i="15"/>
  <c r="S6" i="15"/>
  <c r="R6" i="15"/>
  <c r="P6" i="15"/>
  <c r="N6" i="15"/>
  <c r="F13" i="15"/>
  <c r="S89" i="15"/>
  <c r="C242" i="15"/>
  <c r="AH551" i="6" l="1"/>
  <c r="F365" i="6"/>
  <c r="AH528" i="6"/>
  <c r="AN520" i="6"/>
  <c r="AI503" i="6"/>
  <c r="Y503" i="6"/>
  <c r="AH496" i="6"/>
  <c r="AF506" i="6"/>
  <c r="AN496" i="6"/>
  <c r="AO496" i="6" s="1"/>
  <c r="AE496" i="6"/>
  <c r="N305" i="6"/>
  <c r="K305" i="6"/>
  <c r="S305" i="6"/>
  <c r="AH560" i="6"/>
  <c r="AI560" i="6" s="1"/>
  <c r="AN560" i="6"/>
  <c r="AN513" i="6"/>
  <c r="AH513" i="6"/>
  <c r="AH503" i="6"/>
  <c r="AN503" i="6"/>
  <c r="AO503" i="6" s="1"/>
  <c r="AE503" i="6"/>
  <c r="R103" i="6"/>
  <c r="K136" i="6"/>
  <c r="AN562" i="6"/>
  <c r="AH562" i="6"/>
  <c r="AI562" i="6" s="1"/>
  <c r="AM498" i="6"/>
  <c r="AH519" i="6"/>
  <c r="AN519" i="6"/>
  <c r="AI550" i="6"/>
  <c r="Z553" i="6"/>
  <c r="AD567" i="6"/>
  <c r="AH567" i="6"/>
  <c r="AI567" i="6" s="1"/>
  <c r="AE567" i="6"/>
  <c r="AN567" i="6"/>
  <c r="AH529" i="6"/>
  <c r="AN529" i="6"/>
  <c r="L269" i="6"/>
  <c r="R105" i="6"/>
  <c r="AH500" i="6"/>
  <c r="AN500" i="6"/>
  <c r="AE500" i="6"/>
  <c r="AN512" i="6"/>
  <c r="AH512" i="6"/>
  <c r="E189" i="6"/>
  <c r="E186" i="6"/>
  <c r="AN563" i="6"/>
  <c r="AH563" i="6"/>
  <c r="AI563" i="6" s="1"/>
  <c r="F486" i="6"/>
  <c r="E484" i="6"/>
  <c r="K229" i="6"/>
  <c r="AH504" i="6"/>
  <c r="AN504" i="6"/>
  <c r="AE504" i="6"/>
  <c r="AI497" i="6"/>
  <c r="Y497" i="6"/>
  <c r="L307" i="6"/>
  <c r="E27" i="6"/>
  <c r="E78" i="6"/>
  <c r="AH511" i="6"/>
  <c r="AN511" i="6"/>
  <c r="AI501" i="6"/>
  <c r="Y501" i="6"/>
  <c r="AN532" i="6"/>
  <c r="AO532" i="6" s="1"/>
  <c r="AH532" i="6"/>
  <c r="AN566" i="6"/>
  <c r="AH566" i="6"/>
  <c r="AI566" i="6" s="1"/>
  <c r="AH550" i="6"/>
  <c r="AH553" i="6" s="1"/>
  <c r="AN550" i="6"/>
  <c r="AF553" i="6"/>
  <c r="AH501" i="6"/>
  <c r="AN501" i="6"/>
  <c r="AO501" i="6" s="1"/>
  <c r="AE501" i="6"/>
  <c r="S85" i="6"/>
  <c r="AN510" i="6"/>
  <c r="AO510" i="6" s="1"/>
  <c r="AH510" i="6"/>
  <c r="AN525" i="6"/>
  <c r="AO525" i="6" s="1"/>
  <c r="AH525" i="6"/>
  <c r="AI500" i="6"/>
  <c r="Y500" i="6"/>
  <c r="K227" i="6"/>
  <c r="AI498" i="6"/>
  <c r="Y498" i="6"/>
  <c r="AG498" i="6" s="1"/>
  <c r="AF539" i="6"/>
  <c r="Y516" i="6"/>
  <c r="AI516" i="6"/>
  <c r="AN514" i="6"/>
  <c r="AH514" i="6"/>
  <c r="AO536" i="6"/>
  <c r="AL539" i="6"/>
  <c r="AN515" i="6"/>
  <c r="AO515" i="6" s="1"/>
  <c r="AH515" i="6"/>
  <c r="M385" i="6"/>
  <c r="J390" i="6"/>
  <c r="K385" i="6"/>
  <c r="AI517" i="6"/>
  <c r="Y517" i="6"/>
  <c r="P78" i="6"/>
  <c r="P27" i="6"/>
  <c r="K484" i="6"/>
  <c r="S484" i="6"/>
  <c r="AN538" i="6"/>
  <c r="AH538" i="6"/>
  <c r="L486" i="6"/>
  <c r="S486" i="6" s="1"/>
  <c r="AH502" i="6"/>
  <c r="AN502" i="6"/>
  <c r="AO502" i="6" s="1"/>
  <c r="AE502" i="6"/>
  <c r="AN584" i="6"/>
  <c r="AH584" i="6"/>
  <c r="AN518" i="6"/>
  <c r="AO518" i="6" s="1"/>
  <c r="AH518" i="6"/>
  <c r="Z494" i="6"/>
  <c r="F85" i="6"/>
  <c r="AH552" i="6"/>
  <c r="N27" i="6"/>
  <c r="N85" i="6" s="1"/>
  <c r="AI502" i="6"/>
  <c r="Y502" i="6"/>
  <c r="P82" i="6"/>
  <c r="O82" i="6" s="1"/>
  <c r="P37" i="6"/>
  <c r="P24" i="6"/>
  <c r="R24" i="6" s="1"/>
  <c r="P31" i="6"/>
  <c r="P32" i="6"/>
  <c r="P36" i="6"/>
  <c r="P33" i="6"/>
  <c r="P38" i="6"/>
  <c r="P34" i="6"/>
  <c r="S386" i="6"/>
  <c r="Q390" i="6"/>
  <c r="AN557" i="6"/>
  <c r="AH557" i="6"/>
  <c r="AF568" i="6"/>
  <c r="AI535" i="6"/>
  <c r="AH535" i="6"/>
  <c r="AI508" i="6"/>
  <c r="Z520" i="6"/>
  <c r="X520" i="6" s="1"/>
  <c r="AH523" i="6"/>
  <c r="AN523" i="6"/>
  <c r="AO523" i="6" s="1"/>
  <c r="S427" i="6"/>
  <c r="N427" i="6"/>
  <c r="K427" i="6"/>
  <c r="E39" i="6"/>
  <c r="E37" i="6"/>
  <c r="E82" i="6"/>
  <c r="D82" i="6" s="1"/>
  <c r="E35" i="6"/>
  <c r="E24" i="6"/>
  <c r="E40" i="6"/>
  <c r="E33" i="6"/>
  <c r="E31" i="6"/>
  <c r="E38" i="6"/>
  <c r="E34" i="6"/>
  <c r="E32" i="6"/>
  <c r="E36" i="6"/>
  <c r="Z539" i="6"/>
  <c r="X539" i="6" s="1"/>
  <c r="AI521" i="6"/>
  <c r="AN517" i="6"/>
  <c r="AO517" i="6" s="1"/>
  <c r="AH517" i="6"/>
  <c r="AN509" i="6"/>
  <c r="AO509" i="6" s="1"/>
  <c r="AH509" i="6"/>
  <c r="L166" i="6"/>
  <c r="N109" i="6"/>
  <c r="V109" i="6"/>
  <c r="S109" i="6"/>
  <c r="S110" i="6" s="1"/>
  <c r="K209" i="6"/>
  <c r="K196" i="6"/>
  <c r="K123" i="6"/>
  <c r="AN582" i="6"/>
  <c r="AH582" i="6"/>
  <c r="AI496" i="6"/>
  <c r="Z506" i="6"/>
  <c r="Y496" i="6"/>
  <c r="F307" i="6"/>
  <c r="F488" i="6" s="1"/>
  <c r="F269" i="6"/>
  <c r="E303" i="6"/>
  <c r="E284" i="6"/>
  <c r="AF494" i="6"/>
  <c r="AN527" i="6"/>
  <c r="AH527" i="6"/>
  <c r="P427" i="6"/>
  <c r="AH505" i="6"/>
  <c r="AN505" i="6"/>
  <c r="AE505" i="6"/>
  <c r="AI533" i="6"/>
  <c r="AH533" i="6"/>
  <c r="K33" i="6"/>
  <c r="K34" i="6"/>
  <c r="K82" i="6"/>
  <c r="J82" i="6" s="1"/>
  <c r="M24" i="6"/>
  <c r="K24" i="6"/>
  <c r="K32" i="6"/>
  <c r="K36" i="6"/>
  <c r="K38" i="6"/>
  <c r="K35" i="6"/>
  <c r="K31" i="6"/>
  <c r="K37" i="6"/>
  <c r="K39" i="6"/>
  <c r="D390" i="6"/>
  <c r="E385" i="6"/>
  <c r="AN561" i="6"/>
  <c r="AH561" i="6"/>
  <c r="AI561" i="6" s="1"/>
  <c r="AH524" i="6"/>
  <c r="AN524" i="6"/>
  <c r="AO524" i="6" s="1"/>
  <c r="N74" i="6"/>
  <c r="AO505" i="6"/>
  <c r="AK505" i="6"/>
  <c r="AL506" i="6"/>
  <c r="AI526" i="6"/>
  <c r="AH526" i="6"/>
  <c r="R109" i="6"/>
  <c r="K109" i="6"/>
  <c r="M109" i="6"/>
  <c r="E188" i="6"/>
  <c r="P385" i="6"/>
  <c r="O390" i="6"/>
  <c r="R385" i="6"/>
  <c r="Y515" i="6"/>
  <c r="AN537" i="6"/>
  <c r="AH537" i="6"/>
  <c r="K156" i="6"/>
  <c r="S156" i="6"/>
  <c r="N156" i="6"/>
  <c r="P109" i="6"/>
  <c r="R110" i="6"/>
  <c r="AN564" i="6"/>
  <c r="AH564" i="6"/>
  <c r="AI564" i="6" s="1"/>
  <c r="M27" i="6"/>
  <c r="K27" i="6"/>
  <c r="R27" i="6"/>
  <c r="R28" i="6" s="1"/>
  <c r="K78" i="6"/>
  <c r="AN536" i="6"/>
  <c r="AH536" i="6"/>
  <c r="S74" i="6"/>
  <c r="P229" i="6"/>
  <c r="Q239" i="6"/>
  <c r="S239" i="6" s="1"/>
  <c r="AH565" i="6"/>
  <c r="AI565" i="6" s="1"/>
  <c r="AN565" i="6"/>
  <c r="M106" i="6"/>
  <c r="K106" i="6"/>
  <c r="R106" i="6" s="1"/>
  <c r="AI499" i="6"/>
  <c r="Y499" i="6"/>
  <c r="AG499" i="6" s="1"/>
  <c r="M326" i="6"/>
  <c r="E229" i="6"/>
  <c r="F239" i="6"/>
  <c r="N239" i="6" s="1"/>
  <c r="M182" i="6"/>
  <c r="R104" i="6"/>
  <c r="AI557" i="6"/>
  <c r="Z568" i="6"/>
  <c r="X568" i="6" s="1"/>
  <c r="S390" i="6"/>
  <c r="N390" i="6"/>
  <c r="N391" i="6" s="1"/>
  <c r="L429" i="6"/>
  <c r="AM499" i="6"/>
  <c r="AH516" i="6"/>
  <c r="AN516" i="6"/>
  <c r="AO516" i="6" s="1"/>
  <c r="AO520" i="6"/>
  <c r="AH531" i="6"/>
  <c r="S363" i="6"/>
  <c r="N363" i="6"/>
  <c r="K363" i="6"/>
  <c r="E191" i="6"/>
  <c r="AH497" i="6"/>
  <c r="AN497" i="6"/>
  <c r="AO497" i="6" s="1"/>
  <c r="AE497" i="6"/>
  <c r="AH522" i="6"/>
  <c r="AN522" i="6"/>
  <c r="AO522" i="6" s="1"/>
  <c r="L365" i="6"/>
  <c r="N268" i="6"/>
  <c r="N269" i="6" s="1"/>
  <c r="AH534" i="6"/>
  <c r="AN534" i="6"/>
  <c r="AO534" i="6" s="1"/>
  <c r="S41" i="5"/>
  <c r="N41" i="5"/>
  <c r="L74" i="5"/>
  <c r="R7" i="5"/>
  <c r="K7" i="5"/>
  <c r="Q74" i="5"/>
  <c r="S98" i="5"/>
  <c r="O113" i="5"/>
  <c r="Q109" i="5"/>
  <c r="S114" i="5"/>
  <c r="N114" i="5"/>
  <c r="J114" i="5"/>
  <c r="E120" i="5"/>
  <c r="E136" i="5"/>
  <c r="S164" i="5"/>
  <c r="M177" i="5"/>
  <c r="Q342" i="5"/>
  <c r="Q363" i="5" s="1"/>
  <c r="S334" i="5"/>
  <c r="N334" i="5"/>
  <c r="K448" i="5"/>
  <c r="M437" i="5"/>
  <c r="K439" i="5"/>
  <c r="L229" i="5"/>
  <c r="N196" i="5"/>
  <c r="L54" i="5"/>
  <c r="S43" i="5"/>
  <c r="J13" i="5"/>
  <c r="R6" i="5"/>
  <c r="M6" i="5"/>
  <c r="M13" i="5" s="1"/>
  <c r="S44" i="5"/>
  <c r="S54" i="5" s="1"/>
  <c r="N44" i="5"/>
  <c r="S78" i="5"/>
  <c r="E115" i="5"/>
  <c r="L136" i="5"/>
  <c r="N148" i="5"/>
  <c r="F156" i="5"/>
  <c r="E156" i="5" s="1"/>
  <c r="O186" i="5"/>
  <c r="Q196" i="5"/>
  <c r="S188" i="5"/>
  <c r="N215" i="5"/>
  <c r="J259" i="5"/>
  <c r="R246" i="5"/>
  <c r="S397" i="5"/>
  <c r="N397" i="5"/>
  <c r="S425" i="5"/>
  <c r="N15" i="5"/>
  <c r="S158" i="5"/>
  <c r="N223" i="5"/>
  <c r="E251" i="5"/>
  <c r="M249" i="5"/>
  <c r="E259" i="5"/>
  <c r="E268" i="5" s="1"/>
  <c r="S342" i="5"/>
  <c r="N342" i="5"/>
  <c r="L363" i="5"/>
  <c r="S40" i="5"/>
  <c r="N40" i="5"/>
  <c r="K40" i="5"/>
  <c r="N59" i="5"/>
  <c r="E78" i="5"/>
  <c r="S207" i="5"/>
  <c r="N207" i="5"/>
  <c r="F259" i="5"/>
  <c r="F247" i="5"/>
  <c r="F24" i="5"/>
  <c r="D32" i="5" s="1"/>
  <c r="N21" i="5"/>
  <c r="M96" i="5"/>
  <c r="K96" i="5"/>
  <c r="K6" i="5"/>
  <c r="O13" i="5"/>
  <c r="O32" i="5"/>
  <c r="E37" i="5"/>
  <c r="S60" i="5"/>
  <c r="N60" i="5"/>
  <c r="S70" i="5"/>
  <c r="N70" i="5"/>
  <c r="N78" i="5"/>
  <c r="D113" i="5"/>
  <c r="E118" i="5"/>
  <c r="S127" i="5"/>
  <c r="S186" i="5"/>
  <c r="S194" i="5"/>
  <c r="N201" i="5"/>
  <c r="N255" i="5"/>
  <c r="F256" i="5"/>
  <c r="N258" i="5"/>
  <c r="N301" i="5"/>
  <c r="S22" i="5"/>
  <c r="N22" i="5"/>
  <c r="F166" i="5"/>
  <c r="E227" i="5"/>
  <c r="S38" i="5"/>
  <c r="S233" i="5"/>
  <c r="N233" i="5"/>
  <c r="R179" i="5"/>
  <c r="R180" i="5" s="1"/>
  <c r="M95" i="5"/>
  <c r="D97" i="5"/>
  <c r="S115" i="5"/>
  <c r="N115" i="5"/>
  <c r="E121" i="5"/>
  <c r="E154" i="5"/>
  <c r="S145" i="5"/>
  <c r="N212" i="5"/>
  <c r="S212" i="5"/>
  <c r="P384" i="5"/>
  <c r="S384" i="5"/>
  <c r="P97" i="5"/>
  <c r="V101" i="5"/>
  <c r="S101" i="5"/>
  <c r="N101" i="5"/>
  <c r="O106" i="5"/>
  <c r="P106" i="5" s="1"/>
  <c r="S118" i="5"/>
  <c r="N118" i="5"/>
  <c r="N124" i="5"/>
  <c r="Q237" i="5"/>
  <c r="R94" i="5"/>
  <c r="R97" i="5" s="1"/>
  <c r="R98" i="5" s="1"/>
  <c r="J97" i="5"/>
  <c r="K94" i="5"/>
  <c r="S77" i="5"/>
  <c r="N77" i="5"/>
  <c r="S8" i="5"/>
  <c r="N14" i="5"/>
  <c r="M7" i="5"/>
  <c r="N10" i="5"/>
  <c r="P11" i="5"/>
  <c r="S15" i="5"/>
  <c r="S277" i="5"/>
  <c r="L284" i="5"/>
  <c r="N277" i="5"/>
  <c r="L13" i="5"/>
  <c r="S35" i="5"/>
  <c r="S121" i="5"/>
  <c r="N121" i="5"/>
  <c r="O182" i="5"/>
  <c r="N265" i="5"/>
  <c r="F266" i="5"/>
  <c r="S292" i="5"/>
  <c r="N292" i="5"/>
  <c r="Q326" i="5"/>
  <c r="S319" i="5"/>
  <c r="Q319" i="5"/>
  <c r="S318" i="5"/>
  <c r="S376" i="5"/>
  <c r="N376" i="5"/>
  <c r="N129" i="5"/>
  <c r="N138" i="5"/>
  <c r="S153" i="5"/>
  <c r="F209" i="5"/>
  <c r="E209" i="5" s="1"/>
  <c r="N197" i="5"/>
  <c r="L106" i="5"/>
  <c r="S103" i="5"/>
  <c r="N103" i="5"/>
  <c r="P105" i="5"/>
  <c r="O114" i="5"/>
  <c r="E123" i="5"/>
  <c r="N6" i="5"/>
  <c r="N13" i="5" s="1"/>
  <c r="N48" i="5"/>
  <c r="Q83" i="5"/>
  <c r="E24" i="5"/>
  <c r="E38" i="5"/>
  <c r="E35" i="5"/>
  <c r="E32" i="5"/>
  <c r="F74" i="5"/>
  <c r="N33" i="5"/>
  <c r="E33" i="5"/>
  <c r="S57" i="5"/>
  <c r="E82" i="5"/>
  <c r="D82" i="5" s="1"/>
  <c r="Q13" i="5"/>
  <c r="E15" i="5"/>
  <c r="N35" i="5"/>
  <c r="L83" i="5"/>
  <c r="S76" i="5"/>
  <c r="P104" i="5"/>
  <c r="E119" i="5"/>
  <c r="S134" i="5"/>
  <c r="Q154" i="5"/>
  <c r="P175" i="5"/>
  <c r="S178" i="5"/>
  <c r="S192" i="5"/>
  <c r="L209" i="5"/>
  <c r="S226" i="5"/>
  <c r="N226" i="5"/>
  <c r="F250" i="5"/>
  <c r="O109" i="5"/>
  <c r="P103" i="5"/>
  <c r="M9" i="5"/>
  <c r="K9" i="5"/>
  <c r="AO572" i="5"/>
  <c r="S432" i="5"/>
  <c r="S310" i="5"/>
  <c r="AO489" i="5"/>
  <c r="S367" i="5"/>
  <c r="S242" i="5"/>
  <c r="S89" i="5"/>
  <c r="R9" i="5"/>
  <c r="L24" i="5"/>
  <c r="S72" i="5"/>
  <c r="S82" i="5"/>
  <c r="N95" i="5"/>
  <c r="K95" i="5"/>
  <c r="N99" i="5"/>
  <c r="Q123" i="5"/>
  <c r="S125" i="5"/>
  <c r="N125" i="5"/>
  <c r="S176" i="5"/>
  <c r="N190" i="5"/>
  <c r="S190" i="5"/>
  <c r="F229" i="5"/>
  <c r="E229" i="5" s="1"/>
  <c r="E196" i="5"/>
  <c r="Q284" i="5"/>
  <c r="S286" i="5"/>
  <c r="N286" i="5"/>
  <c r="S105" i="5"/>
  <c r="N204" i="5"/>
  <c r="L227" i="5"/>
  <c r="S237" i="5"/>
  <c r="K259" i="5"/>
  <c r="Q484" i="5"/>
  <c r="P484" i="5" s="1"/>
  <c r="P464" i="5"/>
  <c r="AI553" i="5"/>
  <c r="S10" i="5"/>
  <c r="Z551" i="5"/>
  <c r="AI551" i="5" s="1"/>
  <c r="Z534" i="5"/>
  <c r="AI534" i="5" s="1"/>
  <c r="Z522" i="5"/>
  <c r="AI522" i="5" s="1"/>
  <c r="Z519" i="5"/>
  <c r="AI519" i="5" s="1"/>
  <c r="Z505" i="5"/>
  <c r="Z504" i="5"/>
  <c r="Z503" i="5"/>
  <c r="Z502" i="5"/>
  <c r="Z501" i="5"/>
  <c r="Z500" i="5"/>
  <c r="Z499" i="5"/>
  <c r="Z498" i="5"/>
  <c r="Z497" i="5"/>
  <c r="Z496" i="5"/>
  <c r="V572" i="5"/>
  <c r="Z509" i="5"/>
  <c r="AI509" i="5" s="1"/>
  <c r="Z537" i="5"/>
  <c r="AI537" i="5" s="1"/>
  <c r="Z532" i="5"/>
  <c r="AI532" i="5" s="1"/>
  <c r="AF525" i="5"/>
  <c r="Z517" i="5"/>
  <c r="Z514" i="5"/>
  <c r="AI514" i="5" s="1"/>
  <c r="Z559" i="5"/>
  <c r="Z535" i="5"/>
  <c r="Z530" i="5"/>
  <c r="AI530" i="5" s="1"/>
  <c r="Z512" i="5"/>
  <c r="AI512" i="5" s="1"/>
  <c r="V489" i="5"/>
  <c r="AF557" i="5"/>
  <c r="Z552" i="5"/>
  <c r="AI552" i="5" s="1"/>
  <c r="Z523" i="5"/>
  <c r="AI523" i="5" s="1"/>
  <c r="Z557" i="5"/>
  <c r="AI557" i="5" s="1"/>
  <c r="AF538" i="5"/>
  <c r="Z528" i="5"/>
  <c r="AI528" i="5" s="1"/>
  <c r="Z515" i="5"/>
  <c r="Z510" i="5"/>
  <c r="AI510" i="5" s="1"/>
  <c r="Z582" i="5"/>
  <c r="AI582" i="5" s="1"/>
  <c r="Z565" i="5"/>
  <c r="Z524" i="5"/>
  <c r="AI524" i="5" s="1"/>
  <c r="Z516" i="5"/>
  <c r="AF531" i="5"/>
  <c r="Z508" i="5"/>
  <c r="AI508" i="5" s="1"/>
  <c r="Z567" i="5"/>
  <c r="Z531" i="5"/>
  <c r="AI531" i="5" s="1"/>
  <c r="C310" i="5"/>
  <c r="Z511" i="5"/>
  <c r="AI511" i="5" s="1"/>
  <c r="Z560" i="5"/>
  <c r="Z550" i="5"/>
  <c r="AI550" i="5" s="1"/>
  <c r="AF582" i="5"/>
  <c r="Z566" i="5"/>
  <c r="Z533" i="5"/>
  <c r="AI533" i="5" s="1"/>
  <c r="Z529" i="5"/>
  <c r="AI529" i="5" s="1"/>
  <c r="AF522" i="5"/>
  <c r="Z518" i="5"/>
  <c r="AI518" i="5" s="1"/>
  <c r="K8" i="5"/>
  <c r="S11" i="5"/>
  <c r="R12" i="5"/>
  <c r="AL538" i="5" s="1"/>
  <c r="AO538" i="5" s="1"/>
  <c r="K15" i="5"/>
  <c r="N23" i="5"/>
  <c r="S31" i="5"/>
  <c r="J113" i="5"/>
  <c r="N163" i="5"/>
  <c r="D187" i="5"/>
  <c r="N199" i="5"/>
  <c r="N210" i="5"/>
  <c r="S216" i="5"/>
  <c r="N216" i="5"/>
  <c r="L259" i="5"/>
  <c r="N246" i="5"/>
  <c r="S246" i="5"/>
  <c r="K251" i="5"/>
  <c r="F363" i="5"/>
  <c r="E363" i="5" s="1"/>
  <c r="E342" i="5"/>
  <c r="N349" i="5"/>
  <c r="S453" i="5"/>
  <c r="S464" i="5"/>
  <c r="AH546" i="5"/>
  <c r="AN546" i="5"/>
  <c r="AO546" i="5" s="1"/>
  <c r="S231" i="5"/>
  <c r="N231" i="5"/>
  <c r="L237" i="5"/>
  <c r="P439" i="5"/>
  <c r="P448" i="5"/>
  <c r="Q438" i="5"/>
  <c r="M8" i="5"/>
  <c r="M15" i="5"/>
  <c r="D31" i="5"/>
  <c r="C89" i="5"/>
  <c r="AF514" i="5" s="1"/>
  <c r="N94" i="5"/>
  <c r="L123" i="5"/>
  <c r="S163" i="5"/>
  <c r="N179" i="5"/>
  <c r="D182" i="5"/>
  <c r="E182" i="5" s="1"/>
  <c r="D186" i="5"/>
  <c r="J187" i="5"/>
  <c r="E193" i="5"/>
  <c r="E195" i="5"/>
  <c r="S199" i="5"/>
  <c r="S210" i="5"/>
  <c r="N234" i="5"/>
  <c r="F253" i="5"/>
  <c r="S278" i="5"/>
  <c r="N278" i="5"/>
  <c r="S287" i="5"/>
  <c r="N287" i="5"/>
  <c r="N299" i="5"/>
  <c r="N339" i="5"/>
  <c r="L406" i="5"/>
  <c r="F427" i="5"/>
  <c r="AH535" i="5"/>
  <c r="AN535" i="5"/>
  <c r="AO535" i="5" s="1"/>
  <c r="K10" i="5"/>
  <c r="E31" i="5"/>
  <c r="N65" i="5"/>
  <c r="N79" i="5"/>
  <c r="N113" i="5"/>
  <c r="N117" i="5"/>
  <c r="N120" i="5"/>
  <c r="S205" i="5"/>
  <c r="N205" i="5"/>
  <c r="S213" i="5"/>
  <c r="S224" i="5"/>
  <c r="S247" i="5"/>
  <c r="Q259" i="5"/>
  <c r="R259" i="5"/>
  <c r="S296" i="5"/>
  <c r="L326" i="5"/>
  <c r="P361" i="5"/>
  <c r="S360" i="5"/>
  <c r="F390" i="5"/>
  <c r="E406" i="5" s="1"/>
  <c r="N388" i="5"/>
  <c r="N42" i="5"/>
  <c r="N54" i="5" s="1"/>
  <c r="N75" i="5"/>
  <c r="N83" i="5" s="1"/>
  <c r="F164" i="5"/>
  <c r="N157" i="5"/>
  <c r="N164" i="5" s="1"/>
  <c r="R175" i="5"/>
  <c r="R176" i="5" s="1"/>
  <c r="M175" i="5"/>
  <c r="K179" i="5"/>
  <c r="Q209" i="5"/>
  <c r="P209" i="5" s="1"/>
  <c r="S197" i="5"/>
  <c r="N222" i="5"/>
  <c r="P259" i="5"/>
  <c r="P268" i="5" s="1"/>
  <c r="Q266" i="5"/>
  <c r="S265" i="5"/>
  <c r="S272" i="5"/>
  <c r="F316" i="5"/>
  <c r="E326" i="5"/>
  <c r="M318" i="5"/>
  <c r="N336" i="5"/>
  <c r="S336" i="5"/>
  <c r="S343" i="5"/>
  <c r="N360" i="5"/>
  <c r="O380" i="5"/>
  <c r="R371" i="5"/>
  <c r="J385" i="5"/>
  <c r="S413" i="5"/>
  <c r="Q449" i="5"/>
  <c r="Q486" i="5"/>
  <c r="Z525" i="5"/>
  <c r="AI525" i="5" s="1"/>
  <c r="Z538" i="5"/>
  <c r="AI538" i="5" s="1"/>
  <c r="N63" i="5"/>
  <c r="L97" i="5"/>
  <c r="N128" i="5"/>
  <c r="L154" i="5"/>
  <c r="K175" i="5"/>
  <c r="S179" i="5"/>
  <c r="S180" i="5" s="1"/>
  <c r="J182" i="5"/>
  <c r="J186" i="5"/>
  <c r="O187" i="5"/>
  <c r="S214" i="5"/>
  <c r="N214" i="5"/>
  <c r="S235" i="5"/>
  <c r="N235" i="5"/>
  <c r="C242" i="5"/>
  <c r="L247" i="5"/>
  <c r="F326" i="5"/>
  <c r="F319" i="5"/>
  <c r="S416" i="5"/>
  <c r="N416" i="5"/>
  <c r="K445" i="5"/>
  <c r="M443" i="5"/>
  <c r="N262" i="5"/>
  <c r="S75" i="5"/>
  <c r="N147" i="5"/>
  <c r="L182" i="5"/>
  <c r="S193" i="5"/>
  <c r="S206" i="5"/>
  <c r="Q247" i="5"/>
  <c r="S262" i="5"/>
  <c r="S263" i="5" s="1"/>
  <c r="S322" i="5"/>
  <c r="Q322" i="5"/>
  <c r="E361" i="5"/>
  <c r="Q380" i="5"/>
  <c r="S371" i="5"/>
  <c r="S443" i="5"/>
  <c r="N443" i="5"/>
  <c r="L444" i="5"/>
  <c r="L482" i="5"/>
  <c r="K482" i="5" s="1"/>
  <c r="Z513" i="5"/>
  <c r="AI513" i="5" s="1"/>
  <c r="Z526" i="5"/>
  <c r="AI526" i="5" s="1"/>
  <c r="Z539" i="5"/>
  <c r="AH542" i="5"/>
  <c r="AN542" i="5"/>
  <c r="AO547" i="5"/>
  <c r="AO578" i="5"/>
  <c r="Z584" i="5"/>
  <c r="AI584" i="5" s="1"/>
  <c r="F305" i="5"/>
  <c r="K12" i="5"/>
  <c r="S6" i="5"/>
  <c r="S13" i="5" s="1"/>
  <c r="N175" i="5"/>
  <c r="S191" i="5"/>
  <c r="N206" i="5"/>
  <c r="L253" i="5"/>
  <c r="N253" i="5" s="1"/>
  <c r="S252" i="5"/>
  <c r="S253" i="5" s="1"/>
  <c r="N318" i="5"/>
  <c r="N319" i="5" s="1"/>
  <c r="M372" i="5"/>
  <c r="E372" i="5"/>
  <c r="S423" i="5"/>
  <c r="N423" i="5"/>
  <c r="F441" i="5"/>
  <c r="N440" i="5"/>
  <c r="N441" i="5" s="1"/>
  <c r="Q263" i="5"/>
  <c r="L303" i="5"/>
  <c r="S316" i="5"/>
  <c r="K375" i="5"/>
  <c r="S375" i="5"/>
  <c r="S437" i="5"/>
  <c r="N437" i="5"/>
  <c r="N438" i="5" s="1"/>
  <c r="L438" i="5"/>
  <c r="AO541" i="5"/>
  <c r="AH579" i="5"/>
  <c r="L319" i="5"/>
  <c r="N344" i="5"/>
  <c r="N350" i="5"/>
  <c r="R376" i="5"/>
  <c r="P376" i="5"/>
  <c r="L380" i="5"/>
  <c r="N402" i="5"/>
  <c r="L448" i="5"/>
  <c r="S482" i="5"/>
  <c r="N400" i="5"/>
  <c r="S417" i="5"/>
  <c r="N417" i="5"/>
  <c r="N337" i="5"/>
  <c r="N345" i="5"/>
  <c r="N353" i="5"/>
  <c r="D380" i="5"/>
  <c r="M371" i="5"/>
  <c r="P375" i="5"/>
  <c r="E384" i="5"/>
  <c r="S403" i="5"/>
  <c r="N403" i="5"/>
  <c r="N411" i="5"/>
  <c r="AI507" i="5"/>
  <c r="AH507" i="5"/>
  <c r="Z520" i="5"/>
  <c r="AO542" i="5"/>
  <c r="AO544" i="5"/>
  <c r="AN556" i="5"/>
  <c r="AO556" i="5" s="1"/>
  <c r="M373" i="5"/>
  <c r="F484" i="5"/>
  <c r="AN526" i="5"/>
  <c r="AO526" i="5" s="1"/>
  <c r="AI545" i="5"/>
  <c r="AH545" i="5"/>
  <c r="AL553" i="5"/>
  <c r="M246" i="5"/>
  <c r="K248" i="5"/>
  <c r="N276" i="5"/>
  <c r="N285" i="5"/>
  <c r="N302" i="5"/>
  <c r="N332" i="5"/>
  <c r="N348" i="5"/>
  <c r="N351" i="5"/>
  <c r="N356" i="5"/>
  <c r="P374" i="5"/>
  <c r="N379" i="5"/>
  <c r="Q441" i="5"/>
  <c r="S440" i="5"/>
  <c r="K464" i="5"/>
  <c r="L484" i="5"/>
  <c r="AN507" i="5"/>
  <c r="AO507" i="5" s="1"/>
  <c r="AO533" i="5"/>
  <c r="AN547" i="5"/>
  <c r="L361" i="5"/>
  <c r="S395" i="5"/>
  <c r="N395" i="5"/>
  <c r="S412" i="5"/>
  <c r="N412" i="5"/>
  <c r="S421" i="5"/>
  <c r="N421" i="5"/>
  <c r="AI578" i="5"/>
  <c r="AH578" i="5"/>
  <c r="P326" i="5"/>
  <c r="S330" i="5"/>
  <c r="N335" i="5"/>
  <c r="N343" i="5"/>
  <c r="N361" i="5" s="1"/>
  <c r="N354" i="5"/>
  <c r="N378" i="5"/>
  <c r="M383" i="5"/>
  <c r="K383" i="5"/>
  <c r="AO545" i="5"/>
  <c r="Q425" i="5"/>
  <c r="AK496" i="5"/>
  <c r="AK497" i="5"/>
  <c r="AK498" i="5"/>
  <c r="AK499" i="5"/>
  <c r="AK500" i="5"/>
  <c r="AH533" i="5"/>
  <c r="AH541" i="5"/>
  <c r="S452" i="5"/>
  <c r="O186" i="15"/>
  <c r="P182" i="15"/>
  <c r="E115" i="15"/>
  <c r="D24" i="15"/>
  <c r="E31" i="15" s="1"/>
  <c r="S83" i="15"/>
  <c r="K154" i="15"/>
  <c r="O187" i="15"/>
  <c r="E160" i="15"/>
  <c r="D160" i="15" s="1"/>
  <c r="S99" i="15"/>
  <c r="N99" i="15"/>
  <c r="L109" i="15"/>
  <c r="Q41" i="15"/>
  <c r="F83" i="15"/>
  <c r="N78" i="15"/>
  <c r="S78" i="15"/>
  <c r="Q97" i="15"/>
  <c r="S96" i="15"/>
  <c r="E120" i="15"/>
  <c r="N129" i="15"/>
  <c r="S129" i="15"/>
  <c r="S152" i="15"/>
  <c r="F164" i="15"/>
  <c r="O380" i="15"/>
  <c r="R371" i="15"/>
  <c r="Q72" i="15"/>
  <c r="N331" i="15"/>
  <c r="D31" i="15"/>
  <c r="F27" i="15"/>
  <c r="E40" i="15"/>
  <c r="N43" i="15"/>
  <c r="N54" i="15" s="1"/>
  <c r="S43" i="15"/>
  <c r="N50" i="15"/>
  <c r="S59" i="15"/>
  <c r="N59" i="15"/>
  <c r="N66" i="15"/>
  <c r="L83" i="15"/>
  <c r="E82" i="15"/>
  <c r="D82" i="15" s="1"/>
  <c r="S105" i="15"/>
  <c r="P175" i="15"/>
  <c r="S200" i="15"/>
  <c r="S203" i="15"/>
  <c r="N203" i="15"/>
  <c r="Q227" i="15"/>
  <c r="P371" i="15"/>
  <c r="V13" i="15"/>
  <c r="L27" i="15"/>
  <c r="D32" i="15"/>
  <c r="N24" i="15"/>
  <c r="N25" i="15" s="1"/>
  <c r="F260" i="15"/>
  <c r="F268" i="15"/>
  <c r="E284" i="15" s="1"/>
  <c r="S300" i="15"/>
  <c r="N300" i="15"/>
  <c r="Q209" i="15"/>
  <c r="N211" i="15"/>
  <c r="F227" i="15"/>
  <c r="L303" i="15"/>
  <c r="S285" i="15"/>
  <c r="N96" i="15"/>
  <c r="N164" i="15"/>
  <c r="Q390" i="15"/>
  <c r="S7" i="15"/>
  <c r="L136" i="15"/>
  <c r="S124" i="15"/>
  <c r="F154" i="15"/>
  <c r="N35" i="15"/>
  <c r="S35" i="15"/>
  <c r="L54" i="15"/>
  <c r="K54" i="15" s="1"/>
  <c r="P160" i="15"/>
  <c r="O160" i="15" s="1"/>
  <c r="O109" i="15"/>
  <c r="P103" i="15"/>
  <c r="P104" i="15"/>
  <c r="O114" i="15"/>
  <c r="N124" i="15"/>
  <c r="N140" i="15"/>
  <c r="R179" i="15"/>
  <c r="R180" i="15" s="1"/>
  <c r="M179" i="15"/>
  <c r="K179" i="15"/>
  <c r="N230" i="15"/>
  <c r="N237" i="15" s="1"/>
  <c r="F237" i="15"/>
  <c r="N285" i="15"/>
  <c r="S354" i="15"/>
  <c r="N354" i="15"/>
  <c r="N360" i="15"/>
  <c r="AL553" i="15"/>
  <c r="S189" i="15"/>
  <c r="N189" i="15"/>
  <c r="D13" i="15"/>
  <c r="M6" i="15"/>
  <c r="K39" i="15"/>
  <c r="K36" i="15"/>
  <c r="K33" i="15"/>
  <c r="K37" i="15"/>
  <c r="K34" i="15"/>
  <c r="K24" i="15"/>
  <c r="E6" i="15"/>
  <c r="S175" i="15"/>
  <c r="S176" i="15" s="1"/>
  <c r="K82" i="15"/>
  <c r="J82" i="15" s="1"/>
  <c r="V106" i="15"/>
  <c r="S106" i="15"/>
  <c r="S107" i="15" s="1"/>
  <c r="N38" i="15"/>
  <c r="S38" i="15"/>
  <c r="N76" i="15"/>
  <c r="S76" i="15"/>
  <c r="P97" i="15"/>
  <c r="N106" i="15"/>
  <c r="N107" i="15" s="1"/>
  <c r="Q123" i="15"/>
  <c r="Q136" i="15"/>
  <c r="Q154" i="15"/>
  <c r="N281" i="15"/>
  <c r="Q303" i="15"/>
  <c r="S316" i="15"/>
  <c r="Q316" i="15"/>
  <c r="Q326" i="15"/>
  <c r="S315" i="15"/>
  <c r="P361" i="15"/>
  <c r="S402" i="15"/>
  <c r="N402" i="15"/>
  <c r="AO543" i="15"/>
  <c r="AN543" i="15"/>
  <c r="N145" i="15"/>
  <c r="J32" i="15"/>
  <c r="S32" i="15"/>
  <c r="N94" i="15"/>
  <c r="N408" i="15"/>
  <c r="S408" i="15"/>
  <c r="Q13" i="15"/>
  <c r="S21" i="15"/>
  <c r="N11" i="15"/>
  <c r="N13" i="15" s="1"/>
  <c r="S13" i="15"/>
  <c r="M8" i="15"/>
  <c r="R11" i="15"/>
  <c r="AL537" i="15" s="1"/>
  <c r="AO537" i="15" s="1"/>
  <c r="P11" i="15"/>
  <c r="F41" i="15"/>
  <c r="S71" i="15"/>
  <c r="F97" i="15"/>
  <c r="R101" i="15"/>
  <c r="M101" i="15"/>
  <c r="O106" i="15"/>
  <c r="P106" i="15" s="1"/>
  <c r="S150" i="15"/>
  <c r="N150" i="15"/>
  <c r="Q164" i="15"/>
  <c r="S164" i="15" s="1"/>
  <c r="D182" i="15"/>
  <c r="E182" i="15" s="1"/>
  <c r="L196" i="15"/>
  <c r="S186" i="15"/>
  <c r="L41" i="15"/>
  <c r="N31" i="15"/>
  <c r="S31" i="15"/>
  <c r="S36" i="15"/>
  <c r="P260" i="15"/>
  <c r="K260" i="15"/>
  <c r="O32" i="15"/>
  <c r="S25" i="15"/>
  <c r="Q196" i="15"/>
  <c r="S187" i="15"/>
  <c r="K21" i="15"/>
  <c r="J27" i="15"/>
  <c r="K22" i="15"/>
  <c r="K23" i="15"/>
  <c r="S45" i="15"/>
  <c r="S54" i="15" s="1"/>
  <c r="F72" i="15"/>
  <c r="S61" i="15"/>
  <c r="N71" i="15"/>
  <c r="N80" i="15"/>
  <c r="S131" i="15"/>
  <c r="N12" i="15"/>
  <c r="M15" i="15"/>
  <c r="E15" i="15"/>
  <c r="N32" i="15"/>
  <c r="K35" i="15"/>
  <c r="E38" i="15"/>
  <c r="E7" i="15"/>
  <c r="K13" i="15"/>
  <c r="J31" i="15"/>
  <c r="F54" i="15"/>
  <c r="M95" i="15"/>
  <c r="D97" i="15"/>
  <c r="V101" i="15"/>
  <c r="S101" i="15"/>
  <c r="N101" i="15"/>
  <c r="N131" i="15"/>
  <c r="N138" i="15"/>
  <c r="S138" i="15"/>
  <c r="K177" i="15"/>
  <c r="V177" i="15"/>
  <c r="S177" i="15"/>
  <c r="S208" i="15"/>
  <c r="M246" i="15"/>
  <c r="K259" i="15"/>
  <c r="L284" i="15"/>
  <c r="S341" i="15"/>
  <c r="N341" i="15"/>
  <c r="L247" i="15"/>
  <c r="S246" i="15"/>
  <c r="S247" i="15" s="1"/>
  <c r="R384" i="15"/>
  <c r="P384" i="15"/>
  <c r="P406" i="15"/>
  <c r="N399" i="15"/>
  <c r="R9" i="15"/>
  <c r="R13" i="15" s="1"/>
  <c r="R14" i="15" s="1"/>
  <c r="S17" i="15"/>
  <c r="O31" i="15"/>
  <c r="N48" i="15"/>
  <c r="N64" i="15"/>
  <c r="N82" i="15"/>
  <c r="K94" i="15"/>
  <c r="N103" i="15"/>
  <c r="N115" i="15"/>
  <c r="N118" i="15"/>
  <c r="N121" i="15"/>
  <c r="N134" i="15"/>
  <c r="N143" i="15"/>
  <c r="K160" i="15"/>
  <c r="J160" i="15" s="1"/>
  <c r="P177" i="15"/>
  <c r="F196" i="15"/>
  <c r="N198" i="15"/>
  <c r="N214" i="15"/>
  <c r="S217" i="15"/>
  <c r="E254" i="15"/>
  <c r="L259" i="15"/>
  <c r="S276" i="15"/>
  <c r="N295" i="15"/>
  <c r="S396" i="15"/>
  <c r="K6" i="15"/>
  <c r="R10" i="15"/>
  <c r="AL519" i="15" s="1"/>
  <c r="O13" i="15"/>
  <c r="AK501" i="15" s="1"/>
  <c r="V17" i="15"/>
  <c r="J113" i="15"/>
  <c r="F123" i="15"/>
  <c r="S231" i="15"/>
  <c r="N246" i="15"/>
  <c r="R259" i="15"/>
  <c r="N276" i="15"/>
  <c r="L322" i="15"/>
  <c r="S321" i="15"/>
  <c r="N321" i="15"/>
  <c r="N322" i="15" s="1"/>
  <c r="F380" i="15"/>
  <c r="F385" i="15" s="1"/>
  <c r="F390" i="15" s="1"/>
  <c r="E425" i="15" s="1"/>
  <c r="S399" i="15"/>
  <c r="AL568" i="15"/>
  <c r="K40" i="15"/>
  <c r="M94" i="15"/>
  <c r="N153" i="15"/>
  <c r="N160" i="15"/>
  <c r="N179" i="15"/>
  <c r="S206" i="15"/>
  <c r="N231" i="15"/>
  <c r="Q263" i="15"/>
  <c r="S262" i="15"/>
  <c r="S263" i="15" s="1"/>
  <c r="C310" i="15"/>
  <c r="S336" i="15"/>
  <c r="F361" i="15"/>
  <c r="E361" i="15" s="1"/>
  <c r="F406" i="15"/>
  <c r="N394" i="15"/>
  <c r="N443" i="15"/>
  <c r="N444" i="15" s="1"/>
  <c r="L444" i="15"/>
  <c r="S443" i="15"/>
  <c r="AO507" i="15"/>
  <c r="C89" i="15"/>
  <c r="L123" i="15"/>
  <c r="J182" i="15"/>
  <c r="L227" i="15"/>
  <c r="N212" i="15"/>
  <c r="Q237" i="15"/>
  <c r="P259" i="15"/>
  <c r="P268" i="15" s="1"/>
  <c r="N249" i="15"/>
  <c r="S249" i="15"/>
  <c r="S250" i="15" s="1"/>
  <c r="S302" i="15"/>
  <c r="N336" i="15"/>
  <c r="L361" i="15"/>
  <c r="S343" i="15"/>
  <c r="S349" i="15"/>
  <c r="N349" i="15"/>
  <c r="K17" i="15"/>
  <c r="N40" i="15"/>
  <c r="N44" i="15"/>
  <c r="N60" i="15"/>
  <c r="N72" i="15" s="1"/>
  <c r="N70" i="15"/>
  <c r="N77" i="15"/>
  <c r="J97" i="15"/>
  <c r="S103" i="15"/>
  <c r="N117" i="15"/>
  <c r="N151" i="15"/>
  <c r="Q247" i="15"/>
  <c r="Q259" i="15"/>
  <c r="L326" i="15"/>
  <c r="L319" i="15"/>
  <c r="S318" i="15"/>
  <c r="S319" i="15" s="1"/>
  <c r="F342" i="15"/>
  <c r="N361" i="15"/>
  <c r="AO489" i="15"/>
  <c r="S367" i="15"/>
  <c r="S432" i="15"/>
  <c r="AO572" i="15"/>
  <c r="S242" i="15"/>
  <c r="S310" i="15"/>
  <c r="N49" i="15"/>
  <c r="S55" i="15"/>
  <c r="S72" i="15" s="1"/>
  <c r="N65" i="15"/>
  <c r="N79" i="15"/>
  <c r="N135" i="15"/>
  <c r="N144" i="15"/>
  <c r="L182" i="15"/>
  <c r="N175" i="15"/>
  <c r="S193" i="15"/>
  <c r="S212" i="15"/>
  <c r="P251" i="15"/>
  <c r="N274" i="15"/>
  <c r="N290" i="15"/>
  <c r="Q425" i="15"/>
  <c r="P425" i="15" s="1"/>
  <c r="AH580" i="15"/>
  <c r="AH583" i="15"/>
  <c r="AF530" i="15"/>
  <c r="V489" i="15"/>
  <c r="AF557" i="15"/>
  <c r="Z528" i="15"/>
  <c r="AI528" i="15" s="1"/>
  <c r="AF508" i="15"/>
  <c r="AF529" i="15"/>
  <c r="AF497" i="15"/>
  <c r="C367" i="15"/>
  <c r="C432" i="15" s="1"/>
  <c r="C169" i="15"/>
  <c r="AF522" i="15" s="1"/>
  <c r="V572" i="15"/>
  <c r="AF509" i="15"/>
  <c r="K9" i="15"/>
  <c r="N75" i="15"/>
  <c r="N193" i="15"/>
  <c r="S224" i="15"/>
  <c r="D259" i="15"/>
  <c r="Q250" i="15"/>
  <c r="P254" i="15"/>
  <c r="Q253" i="15"/>
  <c r="L256" i="15"/>
  <c r="N255" i="15"/>
  <c r="N318" i="15"/>
  <c r="N319" i="15" s="1"/>
  <c r="Q342" i="15"/>
  <c r="Q363" i="15" s="1"/>
  <c r="P363" i="15" s="1"/>
  <c r="S333" i="15"/>
  <c r="K375" i="15"/>
  <c r="R376" i="15"/>
  <c r="P376" i="15"/>
  <c r="N379" i="15"/>
  <c r="M437" i="15"/>
  <c r="K439" i="15"/>
  <c r="K448" i="15"/>
  <c r="K442" i="15"/>
  <c r="M440" i="15"/>
  <c r="L209" i="15"/>
  <c r="N197" i="15"/>
  <c r="S232" i="15"/>
  <c r="E259" i="15"/>
  <c r="E268" i="15" s="1"/>
  <c r="E275" i="15"/>
  <c r="E248" i="15"/>
  <c r="R249" i="15"/>
  <c r="L266" i="15"/>
  <c r="S265" i="15"/>
  <c r="N265" i="15"/>
  <c r="F303" i="15"/>
  <c r="E303" i="15" s="1"/>
  <c r="S375" i="15"/>
  <c r="N375" i="15"/>
  <c r="L380" i="15"/>
  <c r="S411" i="15"/>
  <c r="N411" i="15"/>
  <c r="N437" i="15"/>
  <c r="L438" i="15"/>
  <c r="S437" i="15"/>
  <c r="S448" i="15" s="1"/>
  <c r="L448" i="15"/>
  <c r="K464" i="15" s="1"/>
  <c r="F316" i="15"/>
  <c r="S355" i="15"/>
  <c r="R375" i="15"/>
  <c r="M383" i="15"/>
  <c r="K383" i="15"/>
  <c r="S394" i="15"/>
  <c r="L406" i="15"/>
  <c r="L441" i="15"/>
  <c r="S440" i="15"/>
  <c r="N440" i="15"/>
  <c r="N208" i="15"/>
  <c r="N217" i="15"/>
  <c r="N236" i="15"/>
  <c r="N272" i="15"/>
  <c r="N279" i="15"/>
  <c r="N288" i="15"/>
  <c r="N293" i="15"/>
  <c r="L316" i="15"/>
  <c r="S374" i="15"/>
  <c r="N374" i="15"/>
  <c r="N383" i="15"/>
  <c r="S388" i="15"/>
  <c r="R388" i="15" s="1"/>
  <c r="N388" i="15"/>
  <c r="S449" i="15"/>
  <c r="Q449" i="15"/>
  <c r="L484" i="15"/>
  <c r="S464" i="15"/>
  <c r="F263" i="15"/>
  <c r="S344" i="15"/>
  <c r="E371" i="15"/>
  <c r="K373" i="15"/>
  <c r="D380" i="15"/>
  <c r="P482" i="15"/>
  <c r="AO578" i="15"/>
  <c r="S272" i="15"/>
  <c r="S415" i="15"/>
  <c r="N332" i="15"/>
  <c r="N350" i="15"/>
  <c r="S395" i="15"/>
  <c r="N395" i="15"/>
  <c r="N415" i="15"/>
  <c r="N418" i="15"/>
  <c r="S421" i="15"/>
  <c r="N421" i="15"/>
  <c r="F464" i="15"/>
  <c r="S482" i="15"/>
  <c r="AN542" i="15"/>
  <c r="AH542" i="15"/>
  <c r="AH547" i="15"/>
  <c r="L342" i="15"/>
  <c r="AN540" i="15"/>
  <c r="AO540" i="15" s="1"/>
  <c r="AO542" i="15"/>
  <c r="M249" i="15"/>
  <c r="N335" i="15"/>
  <c r="P373" i="15"/>
  <c r="L425" i="15"/>
  <c r="Q464" i="15"/>
  <c r="AN535" i="15"/>
  <c r="AO535" i="15" s="1"/>
  <c r="AH540" i="15"/>
  <c r="S353" i="15"/>
  <c r="S410" i="15"/>
  <c r="S425" i="15" s="1"/>
  <c r="S452" i="15"/>
  <c r="AN545" i="15"/>
  <c r="AO545" i="15" s="1"/>
  <c r="AH556" i="15"/>
  <c r="AI556" i="15" s="1"/>
  <c r="AJ567" i="15"/>
  <c r="AO567" i="15"/>
  <c r="J380" i="15"/>
  <c r="S383" i="15"/>
  <c r="P448" i="15"/>
  <c r="AN507" i="15"/>
  <c r="L482" i="15"/>
  <c r="AK500" i="15"/>
  <c r="AH546" i="15"/>
  <c r="AH579" i="15"/>
  <c r="P377" i="15"/>
  <c r="P378" i="15"/>
  <c r="P379" i="15"/>
  <c r="K384" i="15"/>
  <c r="N400" i="15"/>
  <c r="AH541" i="15"/>
  <c r="AH539" i="6" l="1"/>
  <c r="AI539" i="6" s="1"/>
  <c r="AD539" i="6"/>
  <c r="AN539" i="6"/>
  <c r="S429" i="6"/>
  <c r="N429" i="6"/>
  <c r="P390" i="6"/>
  <c r="R390" i="6"/>
  <c r="AL493" i="6"/>
  <c r="AD568" i="6"/>
  <c r="AN568" i="6"/>
  <c r="AO568" i="6" s="1"/>
  <c r="AH568" i="6"/>
  <c r="AI568" i="6" s="1"/>
  <c r="AG502" i="6"/>
  <c r="AM502" i="6"/>
  <c r="M390" i="6"/>
  <c r="K390" i="6"/>
  <c r="AD553" i="6"/>
  <c r="AN553" i="6"/>
  <c r="AO553" i="6" s="1"/>
  <c r="AG496" i="6"/>
  <c r="AM496" i="6"/>
  <c r="S307" i="6"/>
  <c r="N307" i="6"/>
  <c r="AH494" i="6"/>
  <c r="AI494" i="6" s="1"/>
  <c r="AF570" i="6"/>
  <c r="AD494" i="6"/>
  <c r="AN494" i="6"/>
  <c r="S391" i="6"/>
  <c r="Q429" i="6"/>
  <c r="P406" i="6"/>
  <c r="P425" i="6"/>
  <c r="AL494" i="6"/>
  <c r="AG503" i="6"/>
  <c r="AM503" i="6"/>
  <c r="AH506" i="6"/>
  <c r="AI506" i="6" s="1"/>
  <c r="AF555" i="6"/>
  <c r="AN506" i="6"/>
  <c r="AO506" i="6" s="1"/>
  <c r="AD506" i="6"/>
  <c r="AO539" i="6"/>
  <c r="AG504" i="6"/>
  <c r="AM504" i="6"/>
  <c r="AG500" i="6"/>
  <c r="AM500" i="6"/>
  <c r="AI553" i="6"/>
  <c r="X553" i="6"/>
  <c r="E390" i="6"/>
  <c r="Z493" i="6"/>
  <c r="Y535" i="6" s="1"/>
  <c r="S365" i="6"/>
  <c r="N365" i="6"/>
  <c r="S166" i="6"/>
  <c r="N166" i="6"/>
  <c r="AD520" i="6"/>
  <c r="AH520" i="6"/>
  <c r="AI520" i="6" s="1"/>
  <c r="AJ506" i="6"/>
  <c r="AL555" i="6"/>
  <c r="AG505" i="6"/>
  <c r="AM505" i="6"/>
  <c r="Z555" i="6"/>
  <c r="X555" i="6" s="1"/>
  <c r="X506" i="6"/>
  <c r="M268" i="6"/>
  <c r="AG497" i="6"/>
  <c r="AM497" i="6"/>
  <c r="AG501" i="6"/>
  <c r="AM501" i="6"/>
  <c r="AF493" i="6"/>
  <c r="U5" i="6" s="1"/>
  <c r="AH514" i="5"/>
  <c r="AN514" i="5"/>
  <c r="AN531" i="5"/>
  <c r="AO531" i="5" s="1"/>
  <c r="AH531" i="5"/>
  <c r="Z506" i="5"/>
  <c r="Y496" i="5"/>
  <c r="AI496" i="5"/>
  <c r="P109" i="5"/>
  <c r="V13" i="5"/>
  <c r="L27" i="5"/>
  <c r="AF498" i="5"/>
  <c r="M259" i="5"/>
  <c r="K268" i="5"/>
  <c r="L305" i="5"/>
  <c r="N284" i="5"/>
  <c r="S284" i="5"/>
  <c r="E192" i="5"/>
  <c r="E189" i="5"/>
  <c r="K193" i="5"/>
  <c r="K190" i="5"/>
  <c r="K186" i="5"/>
  <c r="E190" i="5"/>
  <c r="P195" i="5"/>
  <c r="P192" i="5"/>
  <c r="P189" i="5"/>
  <c r="E188" i="5"/>
  <c r="K160" i="5"/>
  <c r="J160" i="5" s="1"/>
  <c r="J109" i="5"/>
  <c r="K104" i="5"/>
  <c r="R104" i="5" s="1"/>
  <c r="M97" i="5"/>
  <c r="P191" i="5"/>
  <c r="K122" i="5"/>
  <c r="K119" i="5"/>
  <c r="K116" i="5"/>
  <c r="P113" i="5"/>
  <c r="K105" i="5"/>
  <c r="P193" i="5"/>
  <c r="P187" i="5"/>
  <c r="P120" i="5"/>
  <c r="P117" i="5"/>
  <c r="P114" i="5"/>
  <c r="K97" i="5"/>
  <c r="K195" i="5"/>
  <c r="K191" i="5"/>
  <c r="K189" i="5"/>
  <c r="E186" i="5"/>
  <c r="J106" i="5"/>
  <c r="P121" i="5"/>
  <c r="P118" i="5"/>
  <c r="P115" i="5"/>
  <c r="K114" i="5"/>
  <c r="P194" i="5"/>
  <c r="P188" i="5"/>
  <c r="E187" i="5"/>
  <c r="P116" i="5"/>
  <c r="E191" i="5"/>
  <c r="K188" i="5"/>
  <c r="P190" i="5"/>
  <c r="K120" i="5"/>
  <c r="P122" i="5"/>
  <c r="K113" i="5"/>
  <c r="K187" i="5"/>
  <c r="K121" i="5"/>
  <c r="P119" i="5"/>
  <c r="K192" i="5"/>
  <c r="K118" i="5"/>
  <c r="P186" i="5"/>
  <c r="K115" i="5"/>
  <c r="K194" i="5"/>
  <c r="K117" i="5"/>
  <c r="K103" i="5"/>
  <c r="E194" i="5"/>
  <c r="E160" i="5"/>
  <c r="D160" i="5" s="1"/>
  <c r="D109" i="5"/>
  <c r="E109" i="5" s="1"/>
  <c r="D106" i="5"/>
  <c r="E106" i="5" s="1"/>
  <c r="E114" i="5"/>
  <c r="E113" i="5"/>
  <c r="E97" i="5"/>
  <c r="F268" i="5"/>
  <c r="F260" i="5"/>
  <c r="K260" i="5"/>
  <c r="AN557" i="5"/>
  <c r="AH557" i="5"/>
  <c r="AF496" i="5"/>
  <c r="AF527" i="5"/>
  <c r="AF560" i="5"/>
  <c r="L239" i="5"/>
  <c r="N182" i="5"/>
  <c r="V182" i="5"/>
  <c r="S182" i="5"/>
  <c r="S183" i="5" s="1"/>
  <c r="Y500" i="5"/>
  <c r="AI500" i="5"/>
  <c r="Z563" i="5"/>
  <c r="S227" i="5"/>
  <c r="N227" i="5"/>
  <c r="Q166" i="5"/>
  <c r="AH525" i="5"/>
  <c r="AN525" i="5"/>
  <c r="AO525" i="5" s="1"/>
  <c r="R105" i="5"/>
  <c r="E427" i="5"/>
  <c r="AF567" i="5"/>
  <c r="V24" i="5"/>
  <c r="S24" i="5"/>
  <c r="S25" i="5" s="1"/>
  <c r="J32" i="5"/>
  <c r="N24" i="5"/>
  <c r="N25" i="5" s="1"/>
  <c r="S484" i="5"/>
  <c r="K484" i="5"/>
  <c r="AF497" i="5"/>
  <c r="L427" i="5"/>
  <c r="S406" i="5"/>
  <c r="N406" i="5"/>
  <c r="L449" i="5"/>
  <c r="L486" i="5"/>
  <c r="S486" i="5" s="1"/>
  <c r="R182" i="5"/>
  <c r="K182" i="5"/>
  <c r="M182" i="5"/>
  <c r="AF523" i="5"/>
  <c r="AF516" i="5"/>
  <c r="AF500" i="5"/>
  <c r="AL505" i="5"/>
  <c r="S380" i="5"/>
  <c r="S381" i="5" s="1"/>
  <c r="N380" i="5"/>
  <c r="N381" i="5" s="1"/>
  <c r="L385" i="5"/>
  <c r="F327" i="5"/>
  <c r="F365" i="5"/>
  <c r="K380" i="5"/>
  <c r="P260" i="5"/>
  <c r="AF536" i="5"/>
  <c r="AF524" i="5"/>
  <c r="AF501" i="5"/>
  <c r="AF510" i="5"/>
  <c r="AI535" i="5"/>
  <c r="Y501" i="5"/>
  <c r="AI501" i="5"/>
  <c r="E122" i="5"/>
  <c r="N209" i="5"/>
  <c r="K209" i="5"/>
  <c r="S209" i="5"/>
  <c r="Q27" i="5"/>
  <c r="S14" i="5"/>
  <c r="O31" i="5"/>
  <c r="R13" i="5"/>
  <c r="R14" i="5" s="1"/>
  <c r="P136" i="5"/>
  <c r="F487" i="5"/>
  <c r="F429" i="5"/>
  <c r="Z562" i="5"/>
  <c r="AF508" i="5"/>
  <c r="P342" i="5"/>
  <c r="Q327" i="5"/>
  <c r="Q365" i="5"/>
  <c r="AF562" i="5"/>
  <c r="N106" i="5"/>
  <c r="N107" i="5" s="1"/>
  <c r="S106" i="5"/>
  <c r="S107" i="5" s="1"/>
  <c r="V106" i="5"/>
  <c r="N444" i="5"/>
  <c r="AF558" i="5"/>
  <c r="Z536" i="5"/>
  <c r="AI536" i="5" s="1"/>
  <c r="Q260" i="5"/>
  <c r="Q268" i="5"/>
  <c r="M179" i="5"/>
  <c r="E179" i="5"/>
  <c r="AL519" i="5"/>
  <c r="AF502" i="5"/>
  <c r="AF515" i="5"/>
  <c r="AF552" i="5"/>
  <c r="AF517" i="5"/>
  <c r="Y502" i="5"/>
  <c r="AI502" i="5"/>
  <c r="P123" i="5"/>
  <c r="Q156" i="5"/>
  <c r="P156" i="5" s="1"/>
  <c r="P182" i="5"/>
  <c r="R183" i="5"/>
  <c r="F239" i="5"/>
  <c r="Q229" i="5"/>
  <c r="P196" i="5"/>
  <c r="K13" i="5"/>
  <c r="K21" i="5"/>
  <c r="J27" i="5"/>
  <c r="K22" i="5"/>
  <c r="J24" i="5"/>
  <c r="K23" i="5"/>
  <c r="AH522" i="5"/>
  <c r="AN522" i="5"/>
  <c r="AO522" i="5" s="1"/>
  <c r="AL537" i="5"/>
  <c r="AO537" i="5" s="1"/>
  <c r="AF513" i="5"/>
  <c r="AF534" i="5"/>
  <c r="AF503" i="5"/>
  <c r="AI515" i="5"/>
  <c r="Y515" i="5"/>
  <c r="Z527" i="5"/>
  <c r="AI527" i="5" s="1"/>
  <c r="Y503" i="5"/>
  <c r="AI503" i="5"/>
  <c r="P227" i="5"/>
  <c r="E117" i="5"/>
  <c r="P363" i="5"/>
  <c r="N74" i="5"/>
  <c r="S74" i="5"/>
  <c r="AN582" i="5"/>
  <c r="AH582" i="5"/>
  <c r="AF550" i="5"/>
  <c r="E425" i="5"/>
  <c r="Y497" i="5"/>
  <c r="AI497" i="5"/>
  <c r="L365" i="5"/>
  <c r="K342" i="5"/>
  <c r="S326" i="5"/>
  <c r="S327" i="5" s="1"/>
  <c r="N326" i="5"/>
  <c r="N327" i="5" s="1"/>
  <c r="L327" i="5"/>
  <c r="M326" i="5" s="1"/>
  <c r="AF519" i="5"/>
  <c r="AF499" i="5"/>
  <c r="Y499" i="5"/>
  <c r="AI499" i="5"/>
  <c r="AH526" i="5"/>
  <c r="S83" i="5"/>
  <c r="J390" i="5"/>
  <c r="K385" i="5"/>
  <c r="AF530" i="5"/>
  <c r="S303" i="5"/>
  <c r="N303" i="5"/>
  <c r="K303" i="5"/>
  <c r="Q385" i="5"/>
  <c r="N97" i="5"/>
  <c r="V97" i="5"/>
  <c r="L109" i="5"/>
  <c r="K227" i="5" s="1"/>
  <c r="O385" i="5"/>
  <c r="R380" i="5"/>
  <c r="P380" i="5"/>
  <c r="AF512" i="5"/>
  <c r="L268" i="5"/>
  <c r="K284" i="5" s="1"/>
  <c r="L260" i="5"/>
  <c r="S259" i="5"/>
  <c r="S260" i="5" s="1"/>
  <c r="N259" i="5"/>
  <c r="N260" i="5" s="1"/>
  <c r="AF551" i="5"/>
  <c r="AF504" i="5"/>
  <c r="AF518" i="5"/>
  <c r="AF528" i="5"/>
  <c r="AF564" i="5"/>
  <c r="AF532" i="5"/>
  <c r="Y504" i="5"/>
  <c r="AI504" i="5"/>
  <c r="AK503" i="5"/>
  <c r="AK502" i="5"/>
  <c r="AK501" i="5"/>
  <c r="O27" i="5"/>
  <c r="P21" i="5"/>
  <c r="R21" i="5" s="1"/>
  <c r="P22" i="5"/>
  <c r="R22" i="5" s="1"/>
  <c r="P13" i="5"/>
  <c r="AK567" i="5" s="1"/>
  <c r="P23" i="5"/>
  <c r="R23" i="5" s="1"/>
  <c r="O24" i="5"/>
  <c r="AN538" i="5"/>
  <c r="AH538" i="5"/>
  <c r="S363" i="5"/>
  <c r="N363" i="5"/>
  <c r="K363" i="5"/>
  <c r="E380" i="5"/>
  <c r="D385" i="5"/>
  <c r="M380" i="5"/>
  <c r="AF529" i="5"/>
  <c r="N229" i="5"/>
  <c r="K229" i="5"/>
  <c r="Z561" i="5"/>
  <c r="AF584" i="5"/>
  <c r="S448" i="5"/>
  <c r="S449" i="5" s="1"/>
  <c r="N154" i="5"/>
  <c r="K154" i="5"/>
  <c r="S154" i="5"/>
  <c r="S123" i="5"/>
  <c r="N123" i="5"/>
  <c r="L156" i="5"/>
  <c r="K123" i="5"/>
  <c r="AF563" i="5"/>
  <c r="AF505" i="5"/>
  <c r="AF521" i="5"/>
  <c r="AL536" i="5"/>
  <c r="AF537" i="5"/>
  <c r="Y505" i="5"/>
  <c r="AI505" i="5"/>
  <c r="P284" i="5"/>
  <c r="Q305" i="5"/>
  <c r="P305" i="5" s="1"/>
  <c r="P154" i="5"/>
  <c r="E116" i="5"/>
  <c r="F27" i="5"/>
  <c r="E74" i="5" s="1"/>
  <c r="AI516" i="5"/>
  <c r="R103" i="5"/>
  <c r="AF565" i="5"/>
  <c r="AF559" i="5"/>
  <c r="Y498" i="5"/>
  <c r="AI498" i="5"/>
  <c r="AF566" i="5"/>
  <c r="Q427" i="5"/>
  <c r="S361" i="5"/>
  <c r="K361" i="5"/>
  <c r="E484" i="5"/>
  <c r="F486" i="5"/>
  <c r="AF511" i="5"/>
  <c r="AI517" i="5"/>
  <c r="AF561" i="5"/>
  <c r="AF509" i="5"/>
  <c r="J31" i="5"/>
  <c r="S136" i="5"/>
  <c r="N136" i="5"/>
  <c r="K136" i="5"/>
  <c r="S196" i="5"/>
  <c r="AN522" i="15"/>
  <c r="AO522" i="15" s="1"/>
  <c r="F109" i="15"/>
  <c r="E154" i="15" s="1"/>
  <c r="D113" i="15"/>
  <c r="N97" i="15"/>
  <c r="AO519" i="15"/>
  <c r="AL520" i="15"/>
  <c r="AN497" i="15"/>
  <c r="AO497" i="15" s="1"/>
  <c r="AE497" i="15"/>
  <c r="AH497" i="15"/>
  <c r="AF498" i="15"/>
  <c r="AF558" i="15"/>
  <c r="AF500" i="15"/>
  <c r="Z502" i="15"/>
  <c r="Z514" i="15"/>
  <c r="AI514" i="15" s="1"/>
  <c r="N326" i="15"/>
  <c r="N327" i="15" s="1"/>
  <c r="K342" i="15"/>
  <c r="L327" i="15"/>
  <c r="M326" i="15" s="1"/>
  <c r="S326" i="15"/>
  <c r="S327" i="15" s="1"/>
  <c r="Z522" i="15"/>
  <c r="AI522" i="15" s="1"/>
  <c r="F305" i="15"/>
  <c r="E305" i="15" s="1"/>
  <c r="E35" i="15"/>
  <c r="M14" i="15"/>
  <c r="E13" i="15"/>
  <c r="D27" i="15"/>
  <c r="E227" i="15"/>
  <c r="AH557" i="15"/>
  <c r="AN557" i="15"/>
  <c r="Z584" i="15"/>
  <c r="AI584" i="15" s="1"/>
  <c r="AF519" i="15"/>
  <c r="Z557" i="15"/>
  <c r="AF582" i="15"/>
  <c r="Z496" i="15"/>
  <c r="Z499" i="15"/>
  <c r="Z526" i="15"/>
  <c r="AF502" i="15"/>
  <c r="Z513" i="15"/>
  <c r="AI513" i="15" s="1"/>
  <c r="Z550" i="15"/>
  <c r="AL505" i="15"/>
  <c r="Z530" i="15"/>
  <c r="AI530" i="15" s="1"/>
  <c r="Z517" i="15"/>
  <c r="Q268" i="15"/>
  <c r="Q260" i="15"/>
  <c r="S284" i="15"/>
  <c r="N284" i="15"/>
  <c r="L305" i="15"/>
  <c r="Q156" i="15"/>
  <c r="P156" i="15" s="1"/>
  <c r="Z519" i="15"/>
  <c r="AI519" i="15" s="1"/>
  <c r="P72" i="15"/>
  <c r="S98" i="15"/>
  <c r="O113" i="15"/>
  <c r="Q109" i="15"/>
  <c r="P136" i="15" s="1"/>
  <c r="AN529" i="15"/>
  <c r="AL538" i="15"/>
  <c r="AO538" i="15" s="1"/>
  <c r="P22" i="15"/>
  <c r="R22" i="15" s="1"/>
  <c r="O24" i="15"/>
  <c r="P23" i="15"/>
  <c r="R23" i="15" s="1"/>
  <c r="P13" i="15"/>
  <c r="AK567" i="15" s="1"/>
  <c r="O27" i="15"/>
  <c r="P21" i="15"/>
  <c r="R21" i="15" s="1"/>
  <c r="AF499" i="15"/>
  <c r="Z565" i="15"/>
  <c r="Z534" i="15"/>
  <c r="AI534" i="15" s="1"/>
  <c r="AF562" i="15"/>
  <c r="N441" i="15"/>
  <c r="Q484" i="15"/>
  <c r="P464" i="15"/>
  <c r="Z509" i="15"/>
  <c r="AI509" i="15" s="1"/>
  <c r="AF517" i="15"/>
  <c r="Z529" i="15"/>
  <c r="AI529" i="15" s="1"/>
  <c r="AF503" i="15"/>
  <c r="AF516" i="15"/>
  <c r="Z562" i="15"/>
  <c r="AF510" i="15"/>
  <c r="AF520" i="15" s="1"/>
  <c r="Z535" i="15"/>
  <c r="AF525" i="15"/>
  <c r="Z508" i="15"/>
  <c r="M259" i="15"/>
  <c r="K268" i="15"/>
  <c r="E113" i="15"/>
  <c r="D109" i="15"/>
  <c r="E109" i="15" s="1"/>
  <c r="E195" i="15"/>
  <c r="E122" i="15"/>
  <c r="E119" i="15"/>
  <c r="E116" i="15"/>
  <c r="E97" i="15"/>
  <c r="D106" i="15"/>
  <c r="E106" i="15" s="1"/>
  <c r="E114" i="15"/>
  <c r="E194" i="15"/>
  <c r="E121" i="15"/>
  <c r="E118" i="15"/>
  <c r="M96" i="15"/>
  <c r="E96" i="15"/>
  <c r="S136" i="15"/>
  <c r="N136" i="15"/>
  <c r="K136" i="15"/>
  <c r="P209" i="15"/>
  <c r="AN509" i="15"/>
  <c r="AO509" i="15" s="1"/>
  <c r="AF538" i="15"/>
  <c r="AF559" i="15"/>
  <c r="Z512" i="15"/>
  <c r="AI512" i="15" s="1"/>
  <c r="L449" i="15"/>
  <c r="L486" i="15"/>
  <c r="AF501" i="15"/>
  <c r="AF584" i="15"/>
  <c r="AF515" i="15"/>
  <c r="AF552" i="15"/>
  <c r="Z532" i="15"/>
  <c r="AI532" i="15" s="1"/>
  <c r="AK502" i="15"/>
  <c r="K227" i="15"/>
  <c r="S227" i="15"/>
  <c r="N227" i="15"/>
  <c r="L74" i="15"/>
  <c r="S41" i="15"/>
  <c r="N41" i="15"/>
  <c r="K41" i="15"/>
  <c r="Q27" i="15"/>
  <c r="S14" i="15"/>
  <c r="P227" i="15"/>
  <c r="AF567" i="15"/>
  <c r="AF550" i="15"/>
  <c r="Z582" i="15"/>
  <c r="AI582" i="15" s="1"/>
  <c r="Z533" i="15"/>
  <c r="P154" i="15"/>
  <c r="N303" i="15"/>
  <c r="K303" i="15"/>
  <c r="S303" i="15"/>
  <c r="E37" i="15"/>
  <c r="E34" i="15"/>
  <c r="E32" i="15"/>
  <c r="E39" i="15"/>
  <c r="E36" i="15"/>
  <c r="E33" i="15"/>
  <c r="E24" i="15"/>
  <c r="Z538" i="15"/>
  <c r="AI538" i="15" s="1"/>
  <c r="AK499" i="15"/>
  <c r="AK498" i="15"/>
  <c r="E380" i="15"/>
  <c r="D385" i="15"/>
  <c r="Z563" i="15"/>
  <c r="AF504" i="15"/>
  <c r="AF551" i="15"/>
  <c r="AF505" i="15"/>
  <c r="Z531" i="15"/>
  <c r="AI531" i="15" s="1"/>
  <c r="Z510" i="15"/>
  <c r="AI510" i="15" s="1"/>
  <c r="Z523" i="15"/>
  <c r="AI523" i="15" s="1"/>
  <c r="Z559" i="15"/>
  <c r="Z537" i="15"/>
  <c r="AI537" i="15" s="1"/>
  <c r="M182" i="15"/>
  <c r="K182" i="15"/>
  <c r="R182" i="15"/>
  <c r="R183" i="15" s="1"/>
  <c r="F427" i="15"/>
  <c r="E427" i="15" s="1"/>
  <c r="E406" i="15"/>
  <c r="S259" i="15"/>
  <c r="S260" i="15" s="1"/>
  <c r="N259" i="15"/>
  <c r="N260" i="15" s="1"/>
  <c r="L268" i="15"/>
  <c r="K284" i="15" s="1"/>
  <c r="L260" i="15"/>
  <c r="E54" i="15"/>
  <c r="M27" i="15"/>
  <c r="K27" i="15"/>
  <c r="K78" i="15"/>
  <c r="R380" i="15"/>
  <c r="P380" i="15"/>
  <c r="O385" i="15"/>
  <c r="Z505" i="15"/>
  <c r="AN530" i="15"/>
  <c r="AO530" i="15" s="1"/>
  <c r="Z518" i="15"/>
  <c r="AI518" i="15" s="1"/>
  <c r="F487" i="15"/>
  <c r="F229" i="15"/>
  <c r="E196" i="15"/>
  <c r="V109" i="15"/>
  <c r="S109" i="15"/>
  <c r="L166" i="15"/>
  <c r="N109" i="15"/>
  <c r="Z521" i="15"/>
  <c r="Z566" i="15"/>
  <c r="E72" i="15"/>
  <c r="M13" i="15"/>
  <c r="N27" i="15"/>
  <c r="V27" i="15"/>
  <c r="L85" i="15"/>
  <c r="L363" i="15"/>
  <c r="N342" i="15"/>
  <c r="S342" i="15"/>
  <c r="AF532" i="15"/>
  <c r="AF523" i="15"/>
  <c r="AK497" i="15"/>
  <c r="N438" i="15"/>
  <c r="AF536" i="15"/>
  <c r="AF524" i="15"/>
  <c r="AK496" i="15"/>
  <c r="S406" i="15"/>
  <c r="N406" i="15"/>
  <c r="L427" i="15"/>
  <c r="AF531" i="15"/>
  <c r="Z504" i="15"/>
  <c r="K482" i="15"/>
  <c r="AF534" i="15"/>
  <c r="AF514" i="15"/>
  <c r="AF560" i="15"/>
  <c r="AF511" i="15"/>
  <c r="Z536" i="15"/>
  <c r="AI536" i="15" s="1"/>
  <c r="Z515" i="15"/>
  <c r="AF528" i="15"/>
  <c r="AF564" i="15"/>
  <c r="Z561" i="15"/>
  <c r="N182" i="15"/>
  <c r="J187" i="15"/>
  <c r="V182" i="15"/>
  <c r="S182" i="15"/>
  <c r="S183" i="15" s="1"/>
  <c r="S123" i="15"/>
  <c r="L156" i="15"/>
  <c r="N123" i="15"/>
  <c r="K123" i="15"/>
  <c r="S237" i="15"/>
  <c r="Q427" i="15"/>
  <c r="P427" i="15" s="1"/>
  <c r="S196" i="15"/>
  <c r="L229" i="15"/>
  <c r="L239" i="15" s="1"/>
  <c r="N196" i="15"/>
  <c r="K196" i="15"/>
  <c r="E41" i="15"/>
  <c r="F74" i="15"/>
  <c r="E74" i="15" s="1"/>
  <c r="N425" i="15"/>
  <c r="Q305" i="15"/>
  <c r="P305" i="15" s="1"/>
  <c r="K72" i="15"/>
  <c r="Q74" i="15"/>
  <c r="P74" i="15" s="1"/>
  <c r="P41" i="15"/>
  <c r="J385" i="15"/>
  <c r="K380" i="15"/>
  <c r="M380" i="15"/>
  <c r="K484" i="15"/>
  <c r="S484" i="15"/>
  <c r="F363" i="15"/>
  <c r="E342" i="15"/>
  <c r="Z503" i="15"/>
  <c r="AF513" i="15"/>
  <c r="L385" i="15"/>
  <c r="N380" i="15"/>
  <c r="N381" i="15" s="1"/>
  <c r="S380" i="15"/>
  <c r="S381" i="15" s="1"/>
  <c r="AF563" i="15"/>
  <c r="Z560" i="15"/>
  <c r="AF518" i="15"/>
  <c r="AL536" i="15"/>
  <c r="AF512" i="15"/>
  <c r="AF566" i="15"/>
  <c r="K194" i="15"/>
  <c r="K191" i="15"/>
  <c r="K188" i="15"/>
  <c r="E187" i="15"/>
  <c r="P193" i="15"/>
  <c r="E189" i="15"/>
  <c r="K186" i="15"/>
  <c r="M97" i="15"/>
  <c r="K195" i="15"/>
  <c r="E192" i="15"/>
  <c r="K122" i="15"/>
  <c r="K119" i="15"/>
  <c r="K116" i="15"/>
  <c r="P113" i="15"/>
  <c r="K105" i="15"/>
  <c r="R105" i="15" s="1"/>
  <c r="K190" i="15"/>
  <c r="K187" i="15"/>
  <c r="P120" i="15"/>
  <c r="P117" i="15"/>
  <c r="P114" i="15"/>
  <c r="K97" i="15"/>
  <c r="K193" i="15"/>
  <c r="P188" i="15"/>
  <c r="E186" i="15"/>
  <c r="J106" i="15"/>
  <c r="P191" i="15"/>
  <c r="E190" i="15"/>
  <c r="K120" i="15"/>
  <c r="K117" i="15"/>
  <c r="K113" i="15"/>
  <c r="P194" i="15"/>
  <c r="P121" i="15"/>
  <c r="P118" i="15"/>
  <c r="P115" i="15"/>
  <c r="K114" i="15"/>
  <c r="P189" i="15"/>
  <c r="E188" i="15"/>
  <c r="P192" i="15"/>
  <c r="E191" i="15"/>
  <c r="P186" i="15"/>
  <c r="K192" i="15"/>
  <c r="K189" i="15"/>
  <c r="J109" i="15"/>
  <c r="K104" i="15"/>
  <c r="R104" i="15" s="1"/>
  <c r="K121" i="15"/>
  <c r="K103" i="15"/>
  <c r="P119" i="15"/>
  <c r="K115" i="15"/>
  <c r="K118" i="15"/>
  <c r="P116" i="15"/>
  <c r="P190" i="15"/>
  <c r="P187" i="15"/>
  <c r="P195" i="15"/>
  <c r="P122" i="15"/>
  <c r="AF527" i="15"/>
  <c r="Z527" i="15"/>
  <c r="AI527" i="15" s="1"/>
  <c r="Z511" i="15"/>
  <c r="AI511" i="15" s="1"/>
  <c r="F156" i="15"/>
  <c r="E156" i="15" s="1"/>
  <c r="E123" i="15"/>
  <c r="J186" i="15"/>
  <c r="P342" i="15"/>
  <c r="Q327" i="15"/>
  <c r="Q365" i="15"/>
  <c r="R103" i="15"/>
  <c r="E117" i="15"/>
  <c r="N154" i="15"/>
  <c r="AN508" i="15"/>
  <c r="AO508" i="15" s="1"/>
  <c r="AH508" i="15"/>
  <c r="Z497" i="15"/>
  <c r="Z551" i="15"/>
  <c r="AI551" i="15" s="1"/>
  <c r="AF561" i="15"/>
  <c r="Z558" i="15"/>
  <c r="Z516" i="15"/>
  <c r="E464" i="15"/>
  <c r="F484" i="15"/>
  <c r="AK503" i="15"/>
  <c r="K209" i="15"/>
  <c r="S209" i="15"/>
  <c r="N209" i="15"/>
  <c r="N83" i="15"/>
  <c r="Z501" i="15"/>
  <c r="Z567" i="15"/>
  <c r="AF496" i="15"/>
  <c r="Z524" i="15"/>
  <c r="AI524" i="15" s="1"/>
  <c r="AF565" i="15"/>
  <c r="AF521" i="15"/>
  <c r="Z552" i="15"/>
  <c r="AI552" i="15" s="1"/>
  <c r="Z525" i="15"/>
  <c r="AI525" i="15" s="1"/>
  <c r="Z498" i="15"/>
  <c r="K361" i="15"/>
  <c r="S361" i="15"/>
  <c r="AF537" i="15"/>
  <c r="Q229" i="15"/>
  <c r="P196" i="15"/>
  <c r="M24" i="15"/>
  <c r="P109" i="15"/>
  <c r="F307" i="15"/>
  <c r="F269" i="15"/>
  <c r="E193" i="15"/>
  <c r="S154" i="15"/>
  <c r="Z500" i="15"/>
  <c r="AE570" i="6" l="1"/>
  <c r="AF576" i="6"/>
  <c r="AN570" i="6"/>
  <c r="AH555" i="6"/>
  <c r="AI555" i="6" s="1"/>
  <c r="AN555" i="6"/>
  <c r="AD555" i="6"/>
  <c r="AJ555" i="6"/>
  <c r="AO555" i="6"/>
  <c r="AO494" i="6"/>
  <c r="AL570" i="6"/>
  <c r="AJ494" i="6"/>
  <c r="AJ553" i="6"/>
  <c r="AJ568" i="6"/>
  <c r="AJ520" i="6"/>
  <c r="X494" i="6"/>
  <c r="Z570" i="6"/>
  <c r="AJ539" i="6"/>
  <c r="AH566" i="5"/>
  <c r="AI566" i="5" s="1"/>
  <c r="AN566" i="5"/>
  <c r="AH503" i="5"/>
  <c r="AE503" i="5"/>
  <c r="AN503" i="5"/>
  <c r="AO503" i="5" s="1"/>
  <c r="AN502" i="5"/>
  <c r="AO502" i="5" s="1"/>
  <c r="AH502" i="5"/>
  <c r="AE502" i="5"/>
  <c r="AH559" i="5"/>
  <c r="AI559" i="5" s="1"/>
  <c r="AN559" i="5"/>
  <c r="AN513" i="5"/>
  <c r="AH513" i="5"/>
  <c r="P229" i="5"/>
  <c r="Q239" i="5"/>
  <c r="AO519" i="5"/>
  <c r="AL520" i="5"/>
  <c r="AN524" i="5"/>
  <c r="AO524" i="5" s="1"/>
  <c r="AH524" i="5"/>
  <c r="AN500" i="5"/>
  <c r="AH500" i="5"/>
  <c r="AE500" i="5"/>
  <c r="N427" i="5"/>
  <c r="K427" i="5"/>
  <c r="S427" i="5"/>
  <c r="R109" i="5"/>
  <c r="R110" i="5" s="1"/>
  <c r="K109" i="5"/>
  <c r="M109" i="5"/>
  <c r="AH517" i="5"/>
  <c r="AN517" i="5"/>
  <c r="AO517" i="5" s="1"/>
  <c r="D390" i="5"/>
  <c r="E385" i="5"/>
  <c r="AH567" i="5"/>
  <c r="AI567" i="5" s="1"/>
  <c r="AE567" i="5"/>
  <c r="AD567" i="5"/>
  <c r="AN567" i="5"/>
  <c r="E303" i="5"/>
  <c r="F307" i="5"/>
  <c r="F269" i="5"/>
  <c r="E284" i="5"/>
  <c r="AN510" i="5"/>
  <c r="AO510" i="5" s="1"/>
  <c r="AH510" i="5"/>
  <c r="AH501" i="5"/>
  <c r="AE501" i="5"/>
  <c r="AN501" i="5"/>
  <c r="AO501" i="5" s="1"/>
  <c r="AN536" i="5"/>
  <c r="AH536" i="5"/>
  <c r="AH512" i="5"/>
  <c r="AN512" i="5"/>
  <c r="AH530" i="5"/>
  <c r="AN530" i="5"/>
  <c r="AO530" i="5" s="1"/>
  <c r="AN560" i="5"/>
  <c r="AH560" i="5"/>
  <c r="AI560" i="5" s="1"/>
  <c r="Z555" i="5"/>
  <c r="AN550" i="5"/>
  <c r="AH550" i="5"/>
  <c r="AF553" i="5"/>
  <c r="AH499" i="5"/>
  <c r="AE499" i="5"/>
  <c r="AN499" i="5"/>
  <c r="AO499" i="5" s="1"/>
  <c r="AN562" i="5"/>
  <c r="AH562" i="5"/>
  <c r="AI562" i="5" s="1"/>
  <c r="AN511" i="5"/>
  <c r="AH511" i="5"/>
  <c r="AN523" i="5"/>
  <c r="AO523" i="5" s="1"/>
  <c r="AH523" i="5"/>
  <c r="AN527" i="5"/>
  <c r="AH527" i="5"/>
  <c r="K305" i="5"/>
  <c r="S305" i="5"/>
  <c r="N305" i="5"/>
  <c r="P427" i="5"/>
  <c r="AH561" i="5"/>
  <c r="AI561" i="5" s="1"/>
  <c r="AN561" i="5"/>
  <c r="Q85" i="5"/>
  <c r="P54" i="5"/>
  <c r="P41" i="5"/>
  <c r="P72" i="5"/>
  <c r="AE505" i="5"/>
  <c r="AN505" i="5"/>
  <c r="AH505" i="5"/>
  <c r="P74" i="5"/>
  <c r="AH532" i="5"/>
  <c r="AN532" i="5"/>
  <c r="AO532" i="5" s="1"/>
  <c r="M385" i="5"/>
  <c r="N365" i="5"/>
  <c r="S365" i="5"/>
  <c r="AF506" i="5"/>
  <c r="AN496" i="5"/>
  <c r="AO496" i="5" s="1"/>
  <c r="AH496" i="5"/>
  <c r="AE496" i="5"/>
  <c r="AF493" i="5"/>
  <c r="U5" i="5" s="1"/>
  <c r="AH551" i="5"/>
  <c r="AN551" i="5"/>
  <c r="AN515" i="5"/>
  <c r="AO515" i="5" s="1"/>
  <c r="AH515" i="5"/>
  <c r="AH534" i="5"/>
  <c r="AN534" i="5"/>
  <c r="AO534" i="5" s="1"/>
  <c r="AH537" i="5"/>
  <c r="AN537" i="5"/>
  <c r="AN516" i="5"/>
  <c r="AO516" i="5" s="1"/>
  <c r="AH516" i="5"/>
  <c r="AO536" i="5"/>
  <c r="AL539" i="5"/>
  <c r="AH563" i="5"/>
  <c r="AI563" i="5" s="1"/>
  <c r="AN563" i="5"/>
  <c r="P36" i="5"/>
  <c r="P33" i="5"/>
  <c r="P37" i="5"/>
  <c r="P34" i="5"/>
  <c r="P24" i="5"/>
  <c r="P38" i="5"/>
  <c r="P31" i="5"/>
  <c r="P32" i="5"/>
  <c r="P82" i="5"/>
  <c r="O82" i="5" s="1"/>
  <c r="AN564" i="5"/>
  <c r="AH564" i="5"/>
  <c r="AI564" i="5" s="1"/>
  <c r="R385" i="5"/>
  <c r="P385" i="5"/>
  <c r="O390" i="5"/>
  <c r="M390" i="5"/>
  <c r="AH508" i="5"/>
  <c r="AN508" i="5"/>
  <c r="AO508" i="5" s="1"/>
  <c r="AF520" i="5"/>
  <c r="M106" i="5"/>
  <c r="K106" i="5"/>
  <c r="R106" i="5" s="1"/>
  <c r="AN504" i="5"/>
  <c r="AH504" i="5"/>
  <c r="AE504" i="5"/>
  <c r="M27" i="5"/>
  <c r="K27" i="5"/>
  <c r="R27" i="5"/>
  <c r="R28" i="5" s="1"/>
  <c r="K78" i="5"/>
  <c r="AF494" i="5"/>
  <c r="N27" i="5"/>
  <c r="N85" i="5" s="1"/>
  <c r="V27" i="5"/>
  <c r="S27" i="5"/>
  <c r="S85" i="5" s="1"/>
  <c r="L85" i="5"/>
  <c r="K41" i="5"/>
  <c r="K72" i="5"/>
  <c r="AH509" i="5"/>
  <c r="AN509" i="5"/>
  <c r="AO509" i="5" s="1"/>
  <c r="P27" i="5"/>
  <c r="P78" i="5"/>
  <c r="Q390" i="5"/>
  <c r="AL494" i="5" s="1"/>
  <c r="AO505" i="5"/>
  <c r="AK505" i="5"/>
  <c r="AL506" i="5"/>
  <c r="Y517" i="5"/>
  <c r="AH497" i="5"/>
  <c r="AE497" i="5"/>
  <c r="AN497" i="5"/>
  <c r="AO497" i="5" s="1"/>
  <c r="N239" i="5"/>
  <c r="S239" i="5"/>
  <c r="AN521" i="5"/>
  <c r="AO521" i="5" s="1"/>
  <c r="AH521" i="5"/>
  <c r="AH539" i="5" s="1"/>
  <c r="AI539" i="5" s="1"/>
  <c r="AF539" i="5"/>
  <c r="AN528" i="5"/>
  <c r="AO528" i="5" s="1"/>
  <c r="AH528" i="5"/>
  <c r="L166" i="5"/>
  <c r="V109" i="5"/>
  <c r="S109" i="5"/>
  <c r="S110" i="5" s="1"/>
  <c r="N109" i="5"/>
  <c r="K196" i="5"/>
  <c r="K31" i="5"/>
  <c r="K32" i="5"/>
  <c r="K33" i="5"/>
  <c r="K37" i="5"/>
  <c r="M24" i="5"/>
  <c r="K24" i="5"/>
  <c r="K82" i="5"/>
  <c r="J82" i="5" s="1"/>
  <c r="K38" i="5"/>
  <c r="K35" i="5"/>
  <c r="K39" i="5"/>
  <c r="K36" i="5"/>
  <c r="AN558" i="5"/>
  <c r="AO558" i="5" s="1"/>
  <c r="AH558" i="5"/>
  <c r="AI558" i="5" s="1"/>
  <c r="N385" i="5"/>
  <c r="N386" i="5" s="1"/>
  <c r="L390" i="5"/>
  <c r="S385" i="5"/>
  <c r="S386" i="5" s="1"/>
  <c r="AN498" i="5"/>
  <c r="AO498" i="5" s="1"/>
  <c r="AH498" i="5"/>
  <c r="AE498" i="5"/>
  <c r="AN552" i="5"/>
  <c r="AH552" i="5"/>
  <c r="AH519" i="5"/>
  <c r="AN519" i="5"/>
  <c r="K74" i="5"/>
  <c r="AN565" i="5"/>
  <c r="AH565" i="5"/>
  <c r="AI565" i="5" s="1"/>
  <c r="S268" i="5"/>
  <c r="S269" i="5" s="1"/>
  <c r="L307" i="5"/>
  <c r="L269" i="5"/>
  <c r="M268" i="5" s="1"/>
  <c r="N268" i="5"/>
  <c r="N269" i="5" s="1"/>
  <c r="AN584" i="5"/>
  <c r="AH584" i="5"/>
  <c r="Y516" i="5"/>
  <c r="Q307" i="5"/>
  <c r="Q269" i="5"/>
  <c r="P303" i="5"/>
  <c r="AF568" i="5"/>
  <c r="K54" i="5"/>
  <c r="Z494" i="5"/>
  <c r="X506" i="5" s="1"/>
  <c r="F85" i="5"/>
  <c r="E72" i="5"/>
  <c r="E54" i="5"/>
  <c r="E41" i="5"/>
  <c r="S229" i="5"/>
  <c r="N156" i="5"/>
  <c r="S156" i="5"/>
  <c r="K156" i="5"/>
  <c r="AN529" i="5"/>
  <c r="AH529" i="5"/>
  <c r="AN518" i="5"/>
  <c r="AO518" i="5" s="1"/>
  <c r="AH518" i="5"/>
  <c r="F488" i="5"/>
  <c r="E305" i="5"/>
  <c r="AN520" i="15"/>
  <c r="AI516" i="15"/>
  <c r="Y516" i="15"/>
  <c r="S385" i="15"/>
  <c r="S386" i="15" s="1"/>
  <c r="N385" i="15"/>
  <c r="N386" i="15" s="1"/>
  <c r="L390" i="15"/>
  <c r="AL494" i="15"/>
  <c r="S28" i="15"/>
  <c r="Q85" i="15"/>
  <c r="P54" i="15"/>
  <c r="AI550" i="15"/>
  <c r="Z553" i="15"/>
  <c r="AN496" i="15"/>
  <c r="AO496" i="15" s="1"/>
  <c r="AF506" i="15"/>
  <c r="AH496" i="15"/>
  <c r="AE496" i="15"/>
  <c r="AN561" i="15"/>
  <c r="AH561" i="15"/>
  <c r="AI561" i="15" s="1"/>
  <c r="AN513" i="15"/>
  <c r="AH513" i="15"/>
  <c r="AN501" i="15"/>
  <c r="AO501" i="15" s="1"/>
  <c r="AH501" i="15"/>
  <c r="AE501" i="15"/>
  <c r="AN517" i="15"/>
  <c r="AO517" i="15" s="1"/>
  <c r="AH517" i="15"/>
  <c r="P123" i="15"/>
  <c r="AO520" i="15"/>
  <c r="AN503" i="15"/>
  <c r="AO503" i="15" s="1"/>
  <c r="AH503" i="15"/>
  <c r="AE503" i="15"/>
  <c r="P27" i="15"/>
  <c r="P78" i="15"/>
  <c r="AN584" i="15"/>
  <c r="AH584" i="15"/>
  <c r="AI503" i="15"/>
  <c r="Y503" i="15"/>
  <c r="N156" i="15"/>
  <c r="K156" i="15"/>
  <c r="S156" i="15"/>
  <c r="AN511" i="15"/>
  <c r="AH511" i="15"/>
  <c r="AN524" i="15"/>
  <c r="AO524" i="15" s="1"/>
  <c r="AH524" i="15"/>
  <c r="S27" i="15"/>
  <c r="S85" i="15" s="1"/>
  <c r="E229" i="15"/>
  <c r="F239" i="15"/>
  <c r="N239" i="15" s="1"/>
  <c r="P24" i="15"/>
  <c r="R24" i="15" s="1"/>
  <c r="P31" i="15"/>
  <c r="P38" i="15"/>
  <c r="P82" i="15"/>
  <c r="O82" i="15" s="1"/>
  <c r="P37" i="15"/>
  <c r="P34" i="15"/>
  <c r="P33" i="15"/>
  <c r="P32" i="15"/>
  <c r="P36" i="15"/>
  <c r="AN502" i="15"/>
  <c r="AO502" i="15" s="1"/>
  <c r="AH502" i="15"/>
  <c r="AE502" i="15"/>
  <c r="E27" i="15"/>
  <c r="E78" i="15"/>
  <c r="AH552" i="15"/>
  <c r="AN552" i="15"/>
  <c r="AN521" i="15"/>
  <c r="AO521" i="15" s="1"/>
  <c r="AH521" i="15"/>
  <c r="AF539" i="15"/>
  <c r="AH515" i="15"/>
  <c r="AN515" i="15"/>
  <c r="AO515" i="15" s="1"/>
  <c r="AI501" i="15"/>
  <c r="Y501" i="15"/>
  <c r="M106" i="15"/>
  <c r="K106" i="15"/>
  <c r="R106" i="15" s="1"/>
  <c r="AI502" i="15"/>
  <c r="Y502" i="15"/>
  <c r="AN514" i="15"/>
  <c r="AH514" i="15"/>
  <c r="N85" i="15"/>
  <c r="AI533" i="15"/>
  <c r="AH533" i="15"/>
  <c r="S74" i="15"/>
  <c r="N74" i="15"/>
  <c r="K74" i="15"/>
  <c r="P484" i="15"/>
  <c r="Q486" i="15"/>
  <c r="S486" i="15" s="1"/>
  <c r="AI499" i="15"/>
  <c r="Y499" i="15"/>
  <c r="AN500" i="15"/>
  <c r="AH500" i="15"/>
  <c r="AE500" i="15"/>
  <c r="AN565" i="15"/>
  <c r="AH565" i="15"/>
  <c r="AI565" i="15" s="1"/>
  <c r="S305" i="15"/>
  <c r="N305" i="15"/>
  <c r="K305" i="15"/>
  <c r="AN537" i="15"/>
  <c r="AH537" i="15"/>
  <c r="E363" i="15"/>
  <c r="F365" i="15"/>
  <c r="AH512" i="15"/>
  <c r="AN512" i="15"/>
  <c r="AN534" i="15"/>
  <c r="AO534" i="15" s="1"/>
  <c r="AH534" i="15"/>
  <c r="AH559" i="15"/>
  <c r="AI559" i="15" s="1"/>
  <c r="AN559" i="15"/>
  <c r="AI508" i="15"/>
  <c r="Z520" i="15"/>
  <c r="AI496" i="15"/>
  <c r="Z506" i="15"/>
  <c r="Y496" i="15"/>
  <c r="F85" i="15"/>
  <c r="F166" i="15"/>
  <c r="N166" i="15" s="1"/>
  <c r="E209" i="15"/>
  <c r="E136" i="15"/>
  <c r="AH564" i="15"/>
  <c r="AI564" i="15" s="1"/>
  <c r="AN564" i="15"/>
  <c r="AH528" i="15"/>
  <c r="AN528" i="15"/>
  <c r="AO528" i="15" s="1"/>
  <c r="S363" i="15"/>
  <c r="K363" i="15"/>
  <c r="N363" i="15"/>
  <c r="D390" i="15"/>
  <c r="E385" i="15"/>
  <c r="AI515" i="15"/>
  <c r="Y515" i="15"/>
  <c r="P229" i="15"/>
  <c r="Q239" i="15"/>
  <c r="S239" i="15" s="1"/>
  <c r="AN560" i="15"/>
  <c r="AH560" i="15"/>
  <c r="AI560" i="15" s="1"/>
  <c r="AI526" i="15"/>
  <c r="AH526" i="15"/>
  <c r="AN566" i="15"/>
  <c r="AH566" i="15"/>
  <c r="AI566" i="15" s="1"/>
  <c r="AI500" i="15"/>
  <c r="Y500" i="15"/>
  <c r="AO536" i="15"/>
  <c r="AL539" i="15"/>
  <c r="L307" i="15"/>
  <c r="L269" i="15"/>
  <c r="M268" i="15" s="1"/>
  <c r="S268" i="15"/>
  <c r="N268" i="15"/>
  <c r="N269" i="15" s="1"/>
  <c r="S269" i="15"/>
  <c r="AN550" i="15"/>
  <c r="AH550" i="15"/>
  <c r="AF553" i="15"/>
  <c r="AN538" i="15"/>
  <c r="AH538" i="15"/>
  <c r="AN525" i="15"/>
  <c r="AO525" i="15" s="1"/>
  <c r="AH525" i="15"/>
  <c r="AN562" i="15"/>
  <c r="AH562" i="15"/>
  <c r="AI562" i="15" s="1"/>
  <c r="AH529" i="15"/>
  <c r="AN582" i="15"/>
  <c r="AH582" i="15"/>
  <c r="Z494" i="15"/>
  <c r="AO505" i="15"/>
  <c r="AK505" i="15"/>
  <c r="AL506" i="15"/>
  <c r="AM497" i="15"/>
  <c r="AG497" i="15"/>
  <c r="AI497" i="15"/>
  <c r="Y497" i="15"/>
  <c r="AN536" i="15"/>
  <c r="AH536" i="15"/>
  <c r="F429" i="15"/>
  <c r="R27" i="15"/>
  <c r="R28" i="15" s="1"/>
  <c r="AI498" i="15"/>
  <c r="Y498" i="15"/>
  <c r="AN518" i="15"/>
  <c r="AO518" i="15" s="1"/>
  <c r="AH518" i="15"/>
  <c r="AI504" i="15"/>
  <c r="Y504" i="15"/>
  <c r="AH523" i="15"/>
  <c r="AN523" i="15"/>
  <c r="AO523" i="15" s="1"/>
  <c r="AH530" i="15"/>
  <c r="AN505" i="15"/>
  <c r="AH505" i="15"/>
  <c r="AE505" i="15"/>
  <c r="AH567" i="15"/>
  <c r="AI567" i="15" s="1"/>
  <c r="AE567" i="15"/>
  <c r="AD567" i="15"/>
  <c r="AN567" i="15"/>
  <c r="AH509" i="15"/>
  <c r="AH535" i="15"/>
  <c r="AI535" i="15"/>
  <c r="AI557" i="15"/>
  <c r="Z568" i="15"/>
  <c r="AN558" i="15"/>
  <c r="AO558" i="15" s="1"/>
  <c r="AH558" i="15"/>
  <c r="AI558" i="15" s="1"/>
  <c r="AF568" i="15"/>
  <c r="Q429" i="15"/>
  <c r="S229" i="15"/>
  <c r="N229" i="15"/>
  <c r="K229" i="15"/>
  <c r="AN531" i="15"/>
  <c r="AO531" i="15" s="1"/>
  <c r="AH531" i="15"/>
  <c r="AN532" i="15"/>
  <c r="AO532" i="15" s="1"/>
  <c r="AH532" i="15"/>
  <c r="AI521" i="15"/>
  <c r="Z539" i="15"/>
  <c r="AI505" i="15"/>
  <c r="Y505" i="15"/>
  <c r="AN551" i="15"/>
  <c r="AH551" i="15"/>
  <c r="AH510" i="15"/>
  <c r="AN510" i="15"/>
  <c r="AO510" i="15" s="1"/>
  <c r="Q166" i="15"/>
  <c r="S166" i="15" s="1"/>
  <c r="S110" i="15"/>
  <c r="Q269" i="15"/>
  <c r="Q307" i="15"/>
  <c r="P284" i="15"/>
  <c r="AN519" i="15"/>
  <c r="AH519" i="15"/>
  <c r="P303" i="15"/>
  <c r="AH522" i="15"/>
  <c r="AN516" i="15"/>
  <c r="AO516" i="15" s="1"/>
  <c r="AH516" i="15"/>
  <c r="E484" i="15"/>
  <c r="F486" i="15"/>
  <c r="AN527" i="15"/>
  <c r="AH527" i="15"/>
  <c r="M109" i="15"/>
  <c r="R109" i="15"/>
  <c r="R110" i="15" s="1"/>
  <c r="K109" i="15"/>
  <c r="AN563" i="15"/>
  <c r="AH563" i="15"/>
  <c r="AI563" i="15" s="1"/>
  <c r="M385" i="15"/>
  <c r="K385" i="15"/>
  <c r="J390" i="15"/>
  <c r="AF493" i="15" s="1"/>
  <c r="K427" i="15"/>
  <c r="S427" i="15"/>
  <c r="N427" i="15"/>
  <c r="R385" i="15"/>
  <c r="P385" i="15"/>
  <c r="O390" i="15"/>
  <c r="AN504" i="15"/>
  <c r="AH504" i="15"/>
  <c r="AE504" i="15"/>
  <c r="AN499" i="15"/>
  <c r="AO499" i="15" s="1"/>
  <c r="AH499" i="15"/>
  <c r="AE499" i="15"/>
  <c r="Y517" i="15"/>
  <c r="AI517" i="15"/>
  <c r="L365" i="15"/>
  <c r="AN498" i="15"/>
  <c r="AO498" i="15" s="1"/>
  <c r="AH498" i="15"/>
  <c r="AE498" i="15"/>
  <c r="Z576" i="6" l="1"/>
  <c r="AH576" i="6" s="1"/>
  <c r="AI576" i="6" s="1"/>
  <c r="Y570" i="6"/>
  <c r="AF575" i="6"/>
  <c r="AF585" i="6"/>
  <c r="AE576" i="6"/>
  <c r="AO570" i="6"/>
  <c r="AK570" i="6"/>
  <c r="AL576" i="6"/>
  <c r="AN576" i="6" s="1"/>
  <c r="AH570" i="6"/>
  <c r="AI570" i="6" s="1"/>
  <c r="AJ568" i="5"/>
  <c r="AJ553" i="5"/>
  <c r="AL555" i="5"/>
  <c r="AJ506" i="5"/>
  <c r="AM502" i="5"/>
  <c r="AG502" i="5"/>
  <c r="AM504" i="5"/>
  <c r="AG504" i="5"/>
  <c r="AM500" i="5"/>
  <c r="AG500" i="5"/>
  <c r="AM498" i="5"/>
  <c r="AG498" i="5"/>
  <c r="AH520" i="5"/>
  <c r="AI520" i="5" s="1"/>
  <c r="AN520" i="5"/>
  <c r="AD520" i="5"/>
  <c r="AM501" i="5"/>
  <c r="AG501" i="5"/>
  <c r="S166" i="5"/>
  <c r="N166" i="5"/>
  <c r="AN506" i="5"/>
  <c r="AO506" i="5" s="1"/>
  <c r="AH506" i="5"/>
  <c r="AI506" i="5" s="1"/>
  <c r="AD506" i="5"/>
  <c r="AF555" i="5"/>
  <c r="X555" i="5"/>
  <c r="E390" i="5"/>
  <c r="Z493" i="5"/>
  <c r="Y535" i="5" s="1"/>
  <c r="AM497" i="5"/>
  <c r="AG497" i="5"/>
  <c r="AM505" i="5"/>
  <c r="AG505" i="5"/>
  <c r="S307" i="5"/>
  <c r="N307" i="5"/>
  <c r="AN539" i="5"/>
  <c r="AD539" i="5"/>
  <c r="AF570" i="5"/>
  <c r="AD494" i="5"/>
  <c r="AH494" i="5"/>
  <c r="AI494" i="5" s="1"/>
  <c r="AN494" i="5"/>
  <c r="AO494" i="5" s="1"/>
  <c r="R24" i="5"/>
  <c r="S28" i="5"/>
  <c r="AJ520" i="5"/>
  <c r="AO520" i="5"/>
  <c r="AM503" i="5"/>
  <c r="AG503" i="5"/>
  <c r="AM496" i="5"/>
  <c r="AG496" i="5"/>
  <c r="S390" i="5"/>
  <c r="L429" i="5"/>
  <c r="N390" i="5"/>
  <c r="N391" i="5" s="1"/>
  <c r="K425" i="5"/>
  <c r="K406" i="5"/>
  <c r="K390" i="5"/>
  <c r="S391" i="5"/>
  <c r="Q429" i="5"/>
  <c r="P406" i="5"/>
  <c r="P425" i="5"/>
  <c r="AM499" i="5"/>
  <c r="AG499" i="5"/>
  <c r="AJ539" i="5"/>
  <c r="AO539" i="5"/>
  <c r="AN553" i="5"/>
  <c r="AO553" i="5" s="1"/>
  <c r="AD553" i="5"/>
  <c r="Z570" i="5"/>
  <c r="X553" i="5"/>
  <c r="X568" i="5"/>
  <c r="X539" i="5"/>
  <c r="X520" i="5"/>
  <c r="AN568" i="5"/>
  <c r="AO568" i="5" s="1"/>
  <c r="AH568" i="5"/>
  <c r="AI568" i="5" s="1"/>
  <c r="AD568" i="5"/>
  <c r="R390" i="5"/>
  <c r="P390" i="5"/>
  <c r="AL493" i="5"/>
  <c r="AM500" i="15"/>
  <c r="AG500" i="15"/>
  <c r="AM499" i="15"/>
  <c r="AG499" i="15"/>
  <c r="S390" i="15"/>
  <c r="S391" i="15" s="1"/>
  <c r="L429" i="15"/>
  <c r="N390" i="15"/>
  <c r="N391" i="15" s="1"/>
  <c r="K406" i="15"/>
  <c r="K425" i="15"/>
  <c r="AN539" i="15"/>
  <c r="AO539" i="15" s="1"/>
  <c r="AD539" i="15"/>
  <c r="AM503" i="15"/>
  <c r="AG503" i="15"/>
  <c r="AJ494" i="15"/>
  <c r="AJ568" i="15"/>
  <c r="AJ553" i="15"/>
  <c r="AH539" i="15"/>
  <c r="AI539" i="15" s="1"/>
  <c r="AL555" i="15"/>
  <c r="AJ506" i="15"/>
  <c r="AH553" i="15"/>
  <c r="AM496" i="15"/>
  <c r="AG496" i="15"/>
  <c r="AH568" i="15"/>
  <c r="AI568" i="15" s="1"/>
  <c r="AN568" i="15"/>
  <c r="AO568" i="15" s="1"/>
  <c r="AM505" i="15"/>
  <c r="AG505" i="15"/>
  <c r="AN506" i="15"/>
  <c r="AO506" i="15" s="1"/>
  <c r="AH506" i="15"/>
  <c r="AI506" i="15" s="1"/>
  <c r="AF555" i="15"/>
  <c r="Z570" i="15"/>
  <c r="X520" i="15"/>
  <c r="AM502" i="15"/>
  <c r="AG502" i="15"/>
  <c r="AH520" i="15"/>
  <c r="AI520" i="15" s="1"/>
  <c r="AM501" i="15"/>
  <c r="AG501" i="15"/>
  <c r="AI553" i="15"/>
  <c r="X553" i="15"/>
  <c r="AJ520" i="15"/>
  <c r="F488" i="15"/>
  <c r="E390" i="15"/>
  <c r="Z493" i="15"/>
  <c r="Y535" i="15" s="1"/>
  <c r="AN553" i="15"/>
  <c r="AO553" i="15" s="1"/>
  <c r="Z555" i="15"/>
  <c r="X555" i="15" s="1"/>
  <c r="X506" i="15"/>
  <c r="X568" i="15"/>
  <c r="S307" i="15"/>
  <c r="N307" i="15"/>
  <c r="M390" i="15"/>
  <c r="K390" i="15"/>
  <c r="AM504" i="15"/>
  <c r="AG504" i="15"/>
  <c r="X539" i="15"/>
  <c r="AM498" i="15"/>
  <c r="AG498" i="15"/>
  <c r="R390" i="15"/>
  <c r="P390" i="15"/>
  <c r="AL493" i="15"/>
  <c r="S365" i="15"/>
  <c r="N365" i="15"/>
  <c r="AJ539" i="15"/>
  <c r="AF494" i="15"/>
  <c r="AD553" i="15" s="1"/>
  <c r="AL585" i="6" l="1"/>
  <c r="AO576" i="6"/>
  <c r="AL575" i="6"/>
  <c r="AK576" i="6"/>
  <c r="AF597" i="6"/>
  <c r="AF591" i="6"/>
  <c r="AN585" i="6"/>
  <c r="AH585" i="6"/>
  <c r="AI585" i="6" s="1"/>
  <c r="AE585" i="6"/>
  <c r="AH575" i="6"/>
  <c r="AI575" i="6" s="1"/>
  <c r="AE575" i="6"/>
  <c r="AN575" i="6"/>
  <c r="Z575" i="6"/>
  <c r="Y575" i="6" s="1"/>
  <c r="Y576" i="6"/>
  <c r="Z585" i="6"/>
  <c r="Y585" i="6" s="1"/>
  <c r="X494" i="5"/>
  <c r="AJ555" i="5"/>
  <c r="N429" i="5"/>
  <c r="S429" i="5"/>
  <c r="Z576" i="5"/>
  <c r="Y570" i="5"/>
  <c r="AF576" i="5"/>
  <c r="AH570" i="5"/>
  <c r="AI570" i="5" s="1"/>
  <c r="AE570" i="5"/>
  <c r="AD555" i="5"/>
  <c r="AH555" i="5"/>
  <c r="AI555" i="5" s="1"/>
  <c r="AN555" i="5"/>
  <c r="AO555" i="5" s="1"/>
  <c r="AJ494" i="5"/>
  <c r="AL570" i="5"/>
  <c r="X494" i="15"/>
  <c r="AN555" i="15"/>
  <c r="AH555" i="15"/>
  <c r="AI555" i="15" s="1"/>
  <c r="AD555" i="15"/>
  <c r="AO555" i="15"/>
  <c r="AJ555" i="15"/>
  <c r="Z576" i="15"/>
  <c r="Y570" i="15"/>
  <c r="AD506" i="15"/>
  <c r="S429" i="15"/>
  <c r="N429" i="15"/>
  <c r="AD568" i="15"/>
  <c r="AL570" i="15"/>
  <c r="AN494" i="15"/>
  <c r="AO494" i="15" s="1"/>
  <c r="AH494" i="15"/>
  <c r="AI494" i="15" s="1"/>
  <c r="AD494" i="15"/>
  <c r="AF570" i="15"/>
  <c r="AD520" i="15"/>
  <c r="AO575" i="6" l="1"/>
  <c r="AK575" i="6"/>
  <c r="AL591" i="6"/>
  <c r="AO585" i="6"/>
  <c r="AK585" i="6"/>
  <c r="AF585" i="5"/>
  <c r="AH576" i="5"/>
  <c r="AI576" i="5" s="1"/>
  <c r="AE576" i="5"/>
  <c r="AF575" i="5"/>
  <c r="Y576" i="5"/>
  <c r="Z575" i="5"/>
  <c r="Y575" i="5" s="1"/>
  <c r="Z585" i="5"/>
  <c r="Y585" i="5" s="1"/>
  <c r="AK570" i="5"/>
  <c r="AL576" i="5"/>
  <c r="AN570" i="5"/>
  <c r="AO570" i="5" s="1"/>
  <c r="AN570" i="15"/>
  <c r="AH570" i="15"/>
  <c r="AI570" i="15" s="1"/>
  <c r="AE570" i="15"/>
  <c r="AF576" i="15"/>
  <c r="Z575" i="15"/>
  <c r="Y575" i="15" s="1"/>
  <c r="Y576" i="15"/>
  <c r="Z585" i="15"/>
  <c r="Y585" i="15" s="1"/>
  <c r="AO570" i="15"/>
  <c r="AK570" i="15"/>
  <c r="AL576" i="15"/>
  <c r="AL575" i="5" l="1"/>
  <c r="AL585" i="5"/>
  <c r="AK576" i="5"/>
  <c r="AH575" i="5"/>
  <c r="AI575" i="5" s="1"/>
  <c r="AE575" i="5"/>
  <c r="AN575" i="5"/>
  <c r="AF597" i="5"/>
  <c r="AF591" i="5"/>
  <c r="AN585" i="5"/>
  <c r="AE585" i="5"/>
  <c r="AH585" i="5"/>
  <c r="AI585" i="5" s="1"/>
  <c r="AN576" i="5"/>
  <c r="AO576" i="5" s="1"/>
  <c r="AL575" i="15"/>
  <c r="AL585" i="15"/>
  <c r="AK576" i="15"/>
  <c r="AN576" i="15"/>
  <c r="AO576" i="15" s="1"/>
  <c r="AH576" i="15"/>
  <c r="AI576" i="15" s="1"/>
  <c r="AF585" i="15"/>
  <c r="AF575" i="15"/>
  <c r="AE576" i="15"/>
  <c r="AL591" i="5" l="1"/>
  <c r="AO585" i="5"/>
  <c r="AK585" i="5"/>
  <c r="AO575" i="5"/>
  <c r="AK575" i="5"/>
  <c r="AN575" i="15"/>
  <c r="AH575" i="15"/>
  <c r="AI575" i="15" s="1"/>
  <c r="AE575" i="15"/>
  <c r="AF591" i="15"/>
  <c r="AN585" i="15"/>
  <c r="AH585" i="15"/>
  <c r="AI585" i="15" s="1"/>
  <c r="AE585" i="15"/>
  <c r="AL591" i="15"/>
  <c r="AO585" i="15"/>
  <c r="AK585" i="15"/>
  <c r="AO575" i="15"/>
  <c r="AK575" i="15"/>
  <c r="V572" i="1" l="1"/>
  <c r="V489" i="1"/>
  <c r="C432" i="1"/>
  <c r="C367" i="1"/>
  <c r="C310" i="1"/>
  <c r="C242" i="1"/>
  <c r="A492" i="1"/>
  <c r="Q403" i="1"/>
  <c r="Q400" i="1"/>
  <c r="F400" i="1"/>
  <c r="Q373" i="1"/>
  <c r="Q357" i="1"/>
  <c r="F357" i="1"/>
  <c r="F354" i="1"/>
  <c r="Q346" i="1"/>
  <c r="F340" i="1"/>
  <c r="F337" i="1"/>
  <c r="Q334" i="1"/>
  <c r="Q296" i="1"/>
  <c r="F282" i="1"/>
  <c r="F277" i="1"/>
  <c r="Q222" i="1"/>
  <c r="Q216" i="1"/>
  <c r="F213" i="1"/>
  <c r="F199" i="1"/>
  <c r="F173" i="1"/>
  <c r="F456" i="1"/>
  <c r="O377" i="1"/>
  <c r="Q279" i="1"/>
  <c r="Q214" i="1"/>
  <c r="R448" i="1"/>
  <c r="Q478" i="1"/>
  <c r="Q477" i="1"/>
  <c r="Q476" i="1"/>
  <c r="Q475" i="1"/>
  <c r="Q474" i="1"/>
  <c r="Q473" i="1"/>
  <c r="Q472" i="1"/>
  <c r="Q471" i="1"/>
  <c r="Q470" i="1"/>
  <c r="Q469" i="1"/>
  <c r="Q468" i="1"/>
  <c r="Q466" i="1"/>
  <c r="Q465" i="1"/>
  <c r="Q462" i="1"/>
  <c r="Q461" i="1"/>
  <c r="Q460" i="1"/>
  <c r="Q459" i="1"/>
  <c r="Q458" i="1"/>
  <c r="Q457" i="1"/>
  <c r="Q456" i="1"/>
  <c r="Q455" i="1"/>
  <c r="Q454" i="1"/>
  <c r="Q453" i="1"/>
  <c r="Q452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2" i="1"/>
  <c r="F461" i="1"/>
  <c r="F460" i="1"/>
  <c r="F459" i="1"/>
  <c r="F458" i="1"/>
  <c r="F457" i="1"/>
  <c r="F455" i="1"/>
  <c r="F454" i="1"/>
  <c r="F453" i="1"/>
  <c r="F452" i="1"/>
  <c r="Q443" i="1"/>
  <c r="P443" i="1"/>
  <c r="O443" i="1"/>
  <c r="Q440" i="1"/>
  <c r="P440" i="1"/>
  <c r="O440" i="1"/>
  <c r="Q437" i="1"/>
  <c r="P437" i="1"/>
  <c r="O437" i="1"/>
  <c r="R437" i="1" s="1"/>
  <c r="F446" i="1"/>
  <c r="F443" i="1"/>
  <c r="E443" i="1"/>
  <c r="D443" i="1"/>
  <c r="F440" i="1"/>
  <c r="E440" i="1"/>
  <c r="D440" i="1"/>
  <c r="F437" i="1"/>
  <c r="E437" i="1"/>
  <c r="D437" i="1"/>
  <c r="S481" i="1"/>
  <c r="S480" i="1"/>
  <c r="S479" i="1"/>
  <c r="S463" i="1"/>
  <c r="A491" i="1"/>
  <c r="A495" i="1"/>
  <c r="A496" i="1"/>
  <c r="AC496" i="1"/>
  <c r="A497" i="1"/>
  <c r="AC497" i="1"/>
  <c r="AB497" i="1" s="1"/>
  <c r="A498" i="1"/>
  <c r="AC498" i="1"/>
  <c r="AB498" i="1" s="1"/>
  <c r="A499" i="1"/>
  <c r="AC499" i="1"/>
  <c r="AB499" i="1" s="1"/>
  <c r="A500" i="1"/>
  <c r="AC500" i="1"/>
  <c r="AB500" i="1" s="1"/>
  <c r="A501" i="1"/>
  <c r="AC501" i="1"/>
  <c r="AB501" i="1" s="1"/>
  <c r="A502" i="1"/>
  <c r="AC502" i="1"/>
  <c r="AB502" i="1" s="1"/>
  <c r="A503" i="1"/>
  <c r="AC503" i="1"/>
  <c r="AB503" i="1" s="1"/>
  <c r="A504" i="1"/>
  <c r="AC504" i="1"/>
  <c r="AB504" i="1" s="1"/>
  <c r="A505" i="1"/>
  <c r="AC505" i="1"/>
  <c r="AB505" i="1" s="1"/>
  <c r="AO505" i="1"/>
  <c r="A506" i="1"/>
  <c r="AJ506" i="1"/>
  <c r="A507" i="1"/>
  <c r="Z507" i="1"/>
  <c r="AI507" i="1" s="1"/>
  <c r="AC507" i="1"/>
  <c r="AB507" i="1" s="1"/>
  <c r="AL507" i="1"/>
  <c r="A508" i="1"/>
  <c r="AC508" i="1"/>
  <c r="A509" i="1"/>
  <c r="AC509" i="1"/>
  <c r="AB509" i="1" s="1"/>
  <c r="A510" i="1"/>
  <c r="AC510" i="1"/>
  <c r="AB510" i="1" s="1"/>
  <c r="A511" i="1"/>
  <c r="AC511" i="1"/>
  <c r="AB511" i="1" s="1"/>
  <c r="A512" i="1"/>
  <c r="AC512" i="1"/>
  <c r="AB512" i="1" s="1"/>
  <c r="AO512" i="1"/>
  <c r="A513" i="1"/>
  <c r="AC513" i="1"/>
  <c r="AB513" i="1" s="1"/>
  <c r="AO513" i="1"/>
  <c r="A514" i="1"/>
  <c r="AC514" i="1"/>
  <c r="AB514" i="1" s="1"/>
  <c r="AO514" i="1"/>
  <c r="A515" i="1"/>
  <c r="AC515" i="1"/>
  <c r="AB515" i="1" s="1"/>
  <c r="A516" i="1"/>
  <c r="AC516" i="1"/>
  <c r="AB516" i="1" s="1"/>
  <c r="A517" i="1"/>
  <c r="AC517" i="1"/>
  <c r="AB517" i="1" s="1"/>
  <c r="A518" i="1"/>
  <c r="AC518" i="1"/>
  <c r="AB518" i="1" s="1"/>
  <c r="A519" i="1"/>
  <c r="AC519" i="1"/>
  <c r="AB519" i="1" s="1"/>
  <c r="A520" i="1"/>
  <c r="AJ520" i="1"/>
  <c r="A521" i="1"/>
  <c r="AC521" i="1"/>
  <c r="AB521" i="1" s="1"/>
  <c r="A522" i="1"/>
  <c r="AC522" i="1"/>
  <c r="AB522" i="1" s="1"/>
  <c r="A523" i="1"/>
  <c r="AC523" i="1"/>
  <c r="AB523" i="1" s="1"/>
  <c r="A524" i="1"/>
  <c r="AC524" i="1"/>
  <c r="AB524" i="1" s="1"/>
  <c r="A525" i="1"/>
  <c r="AC525" i="1"/>
  <c r="AB525" i="1" s="1"/>
  <c r="A526" i="1"/>
  <c r="AC526" i="1"/>
  <c r="AB526" i="1" s="1"/>
  <c r="AC527" i="1"/>
  <c r="AB527" i="1" s="1"/>
  <c r="A528" i="1"/>
  <c r="AC528" i="1"/>
  <c r="AB528" i="1" s="1"/>
  <c r="A529" i="1"/>
  <c r="AC529" i="1"/>
  <c r="AB529" i="1" s="1"/>
  <c r="A530" i="1"/>
  <c r="AC530" i="1"/>
  <c r="AB530" i="1" s="1"/>
  <c r="A531" i="1"/>
  <c r="AC531" i="1"/>
  <c r="AB531" i="1" s="1"/>
  <c r="A532" i="1"/>
  <c r="AC532" i="1"/>
  <c r="AB532" i="1" s="1"/>
  <c r="A533" i="1"/>
  <c r="AC533" i="1"/>
  <c r="AB533" i="1" s="1"/>
  <c r="A534" i="1"/>
  <c r="AC534" i="1"/>
  <c r="AB534" i="1" s="1"/>
  <c r="A535" i="1"/>
  <c r="AC535" i="1"/>
  <c r="AB535" i="1" s="1"/>
  <c r="AL535" i="1"/>
  <c r="A536" i="1"/>
  <c r="AC536" i="1"/>
  <c r="AB536" i="1" s="1"/>
  <c r="A537" i="1"/>
  <c r="AC537" i="1"/>
  <c r="AB537" i="1" s="1"/>
  <c r="AO537" i="1"/>
  <c r="A538" i="1"/>
  <c r="AC538" i="1"/>
  <c r="AB538" i="1" s="1"/>
  <c r="AO538" i="1"/>
  <c r="A539" i="1"/>
  <c r="AC539" i="1"/>
  <c r="AA539" i="1" s="1"/>
  <c r="AJ539" i="1"/>
  <c r="A540" i="1"/>
  <c r="Z540" i="1"/>
  <c r="AC540" i="1"/>
  <c r="AB540" i="1" s="1"/>
  <c r="A541" i="1"/>
  <c r="Z541" i="1"/>
  <c r="AI541" i="1" s="1"/>
  <c r="AC541" i="1"/>
  <c r="AB541" i="1" s="1"/>
  <c r="AL541" i="1"/>
  <c r="A542" i="1"/>
  <c r="Z542" i="1"/>
  <c r="AI542" i="1" s="1"/>
  <c r="AC542" i="1"/>
  <c r="AB542" i="1" s="1"/>
  <c r="AL542" i="1"/>
  <c r="A543" i="1"/>
  <c r="Z543" i="1"/>
  <c r="AC543" i="1"/>
  <c r="AB543" i="1" s="1"/>
  <c r="AL543" i="1"/>
  <c r="AO543" i="1" s="1"/>
  <c r="A544" i="1"/>
  <c r="Z544" i="1"/>
  <c r="AI544" i="1" s="1"/>
  <c r="AC544" i="1"/>
  <c r="AB544" i="1" s="1"/>
  <c r="AL544" i="1"/>
  <c r="A545" i="1"/>
  <c r="Z545" i="1"/>
  <c r="AI545" i="1" s="1"/>
  <c r="AC545" i="1"/>
  <c r="AB545" i="1" s="1"/>
  <c r="AL545" i="1"/>
  <c r="A546" i="1"/>
  <c r="Z546" i="1"/>
  <c r="AI546" i="1" s="1"/>
  <c r="AC546" i="1"/>
  <c r="AB546" i="1" s="1"/>
  <c r="AL546" i="1"/>
  <c r="A547" i="1"/>
  <c r="Z547" i="1"/>
  <c r="AI547" i="1" s="1"/>
  <c r="AC547" i="1"/>
  <c r="AB547" i="1" s="1"/>
  <c r="AL547" i="1"/>
  <c r="A548" i="1"/>
  <c r="Z548" i="1"/>
  <c r="AI548" i="1" s="1"/>
  <c r="AC548" i="1"/>
  <c r="AB548" i="1" s="1"/>
  <c r="AL548" i="1"/>
  <c r="A549" i="1"/>
  <c r="Z549" i="1"/>
  <c r="AC549" i="1"/>
  <c r="AB549" i="1" s="1"/>
  <c r="AL549" i="1"/>
  <c r="A550" i="1"/>
  <c r="Z550" i="1"/>
  <c r="AI550" i="1" s="1"/>
  <c r="AC550" i="1"/>
  <c r="AL550" i="1"/>
  <c r="A551" i="1"/>
  <c r="AC551" i="1"/>
  <c r="AL551" i="1"/>
  <c r="A552" i="1"/>
  <c r="AC552" i="1"/>
  <c r="AL552" i="1"/>
  <c r="A553" i="1"/>
  <c r="AJ553" i="1"/>
  <c r="A554" i="1"/>
  <c r="AH554" i="1"/>
  <c r="AN554" i="1"/>
  <c r="AO554" i="1"/>
  <c r="A555" i="1"/>
  <c r="AJ555" i="1"/>
  <c r="A556" i="1"/>
  <c r="Z556" i="1"/>
  <c r="AC556" i="1"/>
  <c r="AB556" i="1" s="1"/>
  <c r="AL556" i="1"/>
  <c r="A557" i="1"/>
  <c r="AC557" i="1"/>
  <c r="AB557" i="1" s="1"/>
  <c r="AL557" i="1"/>
  <c r="AO557" i="1" s="1"/>
  <c r="A558" i="1"/>
  <c r="AC558" i="1"/>
  <c r="AB558" i="1" s="1"/>
  <c r="AL558" i="1"/>
  <c r="A559" i="1"/>
  <c r="AC559" i="1"/>
  <c r="AB559" i="1" s="1"/>
  <c r="AL559" i="1"/>
  <c r="AO559" i="1" s="1"/>
  <c r="A560" i="1"/>
  <c r="AC560" i="1"/>
  <c r="AB560" i="1" s="1"/>
  <c r="AL560" i="1"/>
  <c r="AO560" i="1" s="1"/>
  <c r="A561" i="1"/>
  <c r="AC561" i="1"/>
  <c r="AB561" i="1" s="1"/>
  <c r="A562" i="1"/>
  <c r="AC562" i="1"/>
  <c r="AB562" i="1" s="1"/>
  <c r="AL562" i="1"/>
  <c r="AO562" i="1" s="1"/>
  <c r="A563" i="1"/>
  <c r="AC563" i="1"/>
  <c r="AB563" i="1" s="1"/>
  <c r="AL563" i="1"/>
  <c r="AO563" i="1" s="1"/>
  <c r="A564" i="1"/>
  <c r="Z564" i="1"/>
  <c r="AC564" i="1"/>
  <c r="AB564" i="1" s="1"/>
  <c r="AL564" i="1"/>
  <c r="AO564" i="1" s="1"/>
  <c r="A565" i="1"/>
  <c r="AC565" i="1"/>
  <c r="AB565" i="1" s="1"/>
  <c r="AL565" i="1"/>
  <c r="AO565" i="1" s="1"/>
  <c r="A566" i="1"/>
  <c r="AC566" i="1"/>
  <c r="AB566" i="1" s="1"/>
  <c r="AL566" i="1"/>
  <c r="A567" i="1"/>
  <c r="AC567" i="1"/>
  <c r="AB567" i="1" s="1"/>
  <c r="AL567" i="1"/>
  <c r="AO567" i="1" s="1"/>
  <c r="A568" i="1"/>
  <c r="A569" i="1"/>
  <c r="AN569" i="1"/>
  <c r="AO569" i="1"/>
  <c r="A570" i="1"/>
  <c r="AK570" i="1"/>
  <c r="A571" i="1"/>
  <c r="A572" i="1"/>
  <c r="A573" i="1"/>
  <c r="A574" i="1"/>
  <c r="A575" i="1"/>
  <c r="A576" i="1"/>
  <c r="AK576" i="1"/>
  <c r="A577" i="1"/>
  <c r="A578" i="1"/>
  <c r="Z578" i="1"/>
  <c r="AI578" i="1" s="1"/>
  <c r="AC578" i="1"/>
  <c r="AB578" i="1" s="1"/>
  <c r="AL578" i="1"/>
  <c r="A579" i="1"/>
  <c r="Z579" i="1"/>
  <c r="AI579" i="1" s="1"/>
  <c r="AC579" i="1"/>
  <c r="AB579" i="1" s="1"/>
  <c r="AL579" i="1"/>
  <c r="AO579" i="1" s="1"/>
  <c r="A580" i="1"/>
  <c r="Z580" i="1"/>
  <c r="AI580" i="1" s="1"/>
  <c r="AC580" i="1"/>
  <c r="AB580" i="1" s="1"/>
  <c r="AL580" i="1"/>
  <c r="A581" i="1"/>
  <c r="Z581" i="1"/>
  <c r="AI581" i="1" s="1"/>
  <c r="AC581" i="1"/>
  <c r="AB581" i="1" s="1"/>
  <c r="AL581" i="1"/>
  <c r="AO581" i="1" s="1"/>
  <c r="A582" i="1"/>
  <c r="AC582" i="1"/>
  <c r="AB582" i="1" s="1"/>
  <c r="AL582" i="1"/>
  <c r="AO582" i="1" s="1"/>
  <c r="A583" i="1"/>
  <c r="Z583" i="1"/>
  <c r="AI583" i="1" s="1"/>
  <c r="AC583" i="1"/>
  <c r="AB583" i="1" s="1"/>
  <c r="AL583" i="1"/>
  <c r="AO583" i="1" s="1"/>
  <c r="A584" i="1"/>
  <c r="AC584" i="1"/>
  <c r="AB584" i="1" s="1"/>
  <c r="AL584" i="1"/>
  <c r="A585" i="1"/>
  <c r="AK585" i="1"/>
  <c r="A586" i="1"/>
  <c r="Q324" i="1"/>
  <c r="F324" i="1"/>
  <c r="Q388" i="1"/>
  <c r="Q384" i="1"/>
  <c r="Q383" i="1"/>
  <c r="F359" i="1"/>
  <c r="Q349" i="1"/>
  <c r="Q298" i="1"/>
  <c r="F289" i="1"/>
  <c r="Q258" i="1"/>
  <c r="Q219" i="1"/>
  <c r="Q207" i="1"/>
  <c r="Q191" i="1"/>
  <c r="F189" i="1"/>
  <c r="R324" i="1"/>
  <c r="A328" i="1"/>
  <c r="A329" i="1"/>
  <c r="A330" i="1"/>
  <c r="F330" i="1"/>
  <c r="I330" i="1"/>
  <c r="Q330" i="1"/>
  <c r="A331" i="1"/>
  <c r="F331" i="1"/>
  <c r="I331" i="1"/>
  <c r="Q331" i="1"/>
  <c r="A332" i="1"/>
  <c r="F332" i="1"/>
  <c r="I332" i="1"/>
  <c r="Q332" i="1"/>
  <c r="A333" i="1"/>
  <c r="F333" i="1"/>
  <c r="I333" i="1"/>
  <c r="Q333" i="1"/>
  <c r="A334" i="1"/>
  <c r="F334" i="1"/>
  <c r="I334" i="1"/>
  <c r="A335" i="1"/>
  <c r="F335" i="1"/>
  <c r="I335" i="1"/>
  <c r="Q335" i="1"/>
  <c r="A336" i="1"/>
  <c r="F336" i="1"/>
  <c r="I336" i="1"/>
  <c r="Q336" i="1"/>
  <c r="A337" i="1"/>
  <c r="I337" i="1"/>
  <c r="Q337" i="1"/>
  <c r="A338" i="1"/>
  <c r="F338" i="1"/>
  <c r="I338" i="1"/>
  <c r="Q338" i="1"/>
  <c r="A339" i="1"/>
  <c r="F339" i="1"/>
  <c r="I339" i="1"/>
  <c r="Q339" i="1"/>
  <c r="A340" i="1"/>
  <c r="I340" i="1"/>
  <c r="Q340" i="1"/>
  <c r="A341" i="1"/>
  <c r="F341" i="1"/>
  <c r="I341" i="1"/>
  <c r="Q341" i="1"/>
  <c r="A342" i="1"/>
  <c r="K342" i="1"/>
  <c r="P342" i="1"/>
  <c r="A343" i="1"/>
  <c r="F343" i="1"/>
  <c r="I343" i="1"/>
  <c r="Q343" i="1"/>
  <c r="A344" i="1"/>
  <c r="F344" i="1"/>
  <c r="I344" i="1"/>
  <c r="Q344" i="1"/>
  <c r="A345" i="1"/>
  <c r="F345" i="1"/>
  <c r="I345" i="1"/>
  <c r="Q345" i="1"/>
  <c r="A346" i="1"/>
  <c r="F346" i="1"/>
  <c r="I346" i="1"/>
  <c r="A347" i="1"/>
  <c r="F347" i="1"/>
  <c r="I347" i="1"/>
  <c r="Q347" i="1"/>
  <c r="A348" i="1"/>
  <c r="F348" i="1"/>
  <c r="I348" i="1"/>
  <c r="Q348" i="1"/>
  <c r="A349" i="1"/>
  <c r="F349" i="1"/>
  <c r="I349" i="1"/>
  <c r="A350" i="1"/>
  <c r="F350" i="1"/>
  <c r="I350" i="1"/>
  <c r="Q350" i="1"/>
  <c r="A351" i="1"/>
  <c r="F351" i="1"/>
  <c r="I351" i="1"/>
  <c r="Q351" i="1"/>
  <c r="A352" i="1"/>
  <c r="F352" i="1"/>
  <c r="I352" i="1"/>
  <c r="Q352" i="1"/>
  <c r="A353" i="1"/>
  <c r="F353" i="1"/>
  <c r="I353" i="1"/>
  <c r="Q353" i="1"/>
  <c r="A354" i="1"/>
  <c r="I354" i="1"/>
  <c r="Q354" i="1"/>
  <c r="A355" i="1"/>
  <c r="F355" i="1"/>
  <c r="I355" i="1"/>
  <c r="Q355" i="1"/>
  <c r="A356" i="1"/>
  <c r="F356" i="1"/>
  <c r="I356" i="1"/>
  <c r="Q356" i="1"/>
  <c r="A357" i="1"/>
  <c r="I357" i="1"/>
  <c r="A358" i="1"/>
  <c r="F358" i="1"/>
  <c r="I358" i="1"/>
  <c r="Q358" i="1"/>
  <c r="A359" i="1"/>
  <c r="I359" i="1"/>
  <c r="Q359" i="1"/>
  <c r="A360" i="1"/>
  <c r="F360" i="1"/>
  <c r="I360" i="1"/>
  <c r="Q360" i="1"/>
  <c r="N364" i="1"/>
  <c r="A370" i="1"/>
  <c r="A371" i="1"/>
  <c r="D371" i="1"/>
  <c r="E371" i="1" s="1"/>
  <c r="F371" i="1"/>
  <c r="G371" i="1"/>
  <c r="H371" i="1" s="1"/>
  <c r="I371" i="1"/>
  <c r="O371" i="1"/>
  <c r="Q371" i="1"/>
  <c r="A372" i="1"/>
  <c r="D372" i="1"/>
  <c r="E372" i="1" s="1"/>
  <c r="F372" i="1"/>
  <c r="G372" i="1"/>
  <c r="H372" i="1" s="1"/>
  <c r="I372" i="1"/>
  <c r="O372" i="1"/>
  <c r="Q372" i="1"/>
  <c r="A373" i="1"/>
  <c r="D373" i="1"/>
  <c r="E373" i="1" s="1"/>
  <c r="F373" i="1"/>
  <c r="G373" i="1"/>
  <c r="H373" i="1" s="1"/>
  <c r="I373" i="1"/>
  <c r="O373" i="1"/>
  <c r="A374" i="1"/>
  <c r="D374" i="1"/>
  <c r="E374" i="1" s="1"/>
  <c r="F374" i="1"/>
  <c r="G374" i="1"/>
  <c r="H374" i="1" s="1"/>
  <c r="I374" i="1"/>
  <c r="O374" i="1"/>
  <c r="Q374" i="1"/>
  <c r="A375" i="1"/>
  <c r="D375" i="1"/>
  <c r="E375" i="1" s="1"/>
  <c r="F375" i="1"/>
  <c r="G375" i="1"/>
  <c r="H375" i="1" s="1"/>
  <c r="I375" i="1"/>
  <c r="O375" i="1"/>
  <c r="Q375" i="1"/>
  <c r="A376" i="1"/>
  <c r="D376" i="1"/>
  <c r="E376" i="1" s="1"/>
  <c r="F376" i="1"/>
  <c r="G376" i="1"/>
  <c r="H376" i="1" s="1"/>
  <c r="I376" i="1"/>
  <c r="Q376" i="1"/>
  <c r="A377" i="1"/>
  <c r="D377" i="1"/>
  <c r="E377" i="1" s="1"/>
  <c r="F377" i="1"/>
  <c r="G377" i="1"/>
  <c r="H377" i="1" s="1"/>
  <c r="I377" i="1"/>
  <c r="A378" i="1"/>
  <c r="F378" i="1"/>
  <c r="G378" i="1"/>
  <c r="H378" i="1" s="1"/>
  <c r="I378" i="1"/>
  <c r="O378" i="1"/>
  <c r="P378" i="1" s="1"/>
  <c r="Q378" i="1"/>
  <c r="A379" i="1"/>
  <c r="D379" i="1"/>
  <c r="E379" i="1" s="1"/>
  <c r="G379" i="1"/>
  <c r="H379" i="1" s="1"/>
  <c r="I379" i="1"/>
  <c r="O379" i="1"/>
  <c r="Q379" i="1"/>
  <c r="A380" i="1"/>
  <c r="A381" i="1"/>
  <c r="A382" i="1"/>
  <c r="A383" i="1"/>
  <c r="D383" i="1"/>
  <c r="E383" i="1" s="1"/>
  <c r="F383" i="1"/>
  <c r="G383" i="1"/>
  <c r="H383" i="1" s="1"/>
  <c r="I383" i="1"/>
  <c r="O383" i="1"/>
  <c r="A384" i="1"/>
  <c r="D384" i="1"/>
  <c r="F384" i="1"/>
  <c r="G384" i="1"/>
  <c r="H384" i="1" s="1"/>
  <c r="I384" i="1"/>
  <c r="O384" i="1"/>
  <c r="P384" i="1" s="1"/>
  <c r="A385" i="1"/>
  <c r="A386" i="1"/>
  <c r="A387" i="1"/>
  <c r="D387" i="1"/>
  <c r="E387" i="1" s="1"/>
  <c r="F387" i="1"/>
  <c r="G387" i="1"/>
  <c r="H387" i="1" s="1"/>
  <c r="I387" i="1"/>
  <c r="J387" i="1"/>
  <c r="K387" i="1" s="1"/>
  <c r="L387" i="1"/>
  <c r="O387" i="1"/>
  <c r="P387" i="1" s="1"/>
  <c r="Q387" i="1"/>
  <c r="A388" i="1"/>
  <c r="D388" i="1"/>
  <c r="E388" i="1" s="1"/>
  <c r="F388" i="1"/>
  <c r="G388" i="1"/>
  <c r="H388" i="1" s="1"/>
  <c r="I388" i="1"/>
  <c r="O388" i="1"/>
  <c r="P388" i="1" s="1"/>
  <c r="A389" i="1"/>
  <c r="A390" i="1"/>
  <c r="A391" i="1"/>
  <c r="A392" i="1"/>
  <c r="A393" i="1"/>
  <c r="A394" i="1"/>
  <c r="F394" i="1"/>
  <c r="I394" i="1"/>
  <c r="Q394" i="1"/>
  <c r="A395" i="1"/>
  <c r="F395" i="1"/>
  <c r="I395" i="1"/>
  <c r="Q395" i="1"/>
  <c r="A396" i="1"/>
  <c r="F396" i="1"/>
  <c r="I396" i="1"/>
  <c r="Q396" i="1"/>
  <c r="A397" i="1"/>
  <c r="F397" i="1"/>
  <c r="I397" i="1"/>
  <c r="Q397" i="1"/>
  <c r="A398" i="1"/>
  <c r="F398" i="1"/>
  <c r="I398" i="1"/>
  <c r="Q398" i="1"/>
  <c r="A399" i="1"/>
  <c r="F399" i="1"/>
  <c r="I399" i="1"/>
  <c r="Q399" i="1"/>
  <c r="A400" i="1"/>
  <c r="I400" i="1"/>
  <c r="A401" i="1"/>
  <c r="I401" i="1"/>
  <c r="Q401" i="1"/>
  <c r="A402" i="1"/>
  <c r="F402" i="1"/>
  <c r="I402" i="1"/>
  <c r="Q402" i="1"/>
  <c r="A403" i="1"/>
  <c r="F403" i="1"/>
  <c r="I403" i="1"/>
  <c r="A404" i="1"/>
  <c r="I404" i="1"/>
  <c r="Q404" i="1"/>
  <c r="A405" i="1"/>
  <c r="F405" i="1"/>
  <c r="I405" i="1"/>
  <c r="Q405" i="1"/>
  <c r="A406" i="1"/>
  <c r="A407" i="1"/>
  <c r="F407" i="1"/>
  <c r="I407" i="1"/>
  <c r="Q407" i="1"/>
  <c r="A408" i="1"/>
  <c r="F408" i="1"/>
  <c r="I408" i="1"/>
  <c r="Q408" i="1"/>
  <c r="A409" i="1"/>
  <c r="F409" i="1"/>
  <c r="I409" i="1"/>
  <c r="Q409" i="1"/>
  <c r="A410" i="1"/>
  <c r="F410" i="1"/>
  <c r="I410" i="1"/>
  <c r="Q410" i="1"/>
  <c r="A411" i="1"/>
  <c r="F411" i="1"/>
  <c r="I411" i="1"/>
  <c r="Q411" i="1"/>
  <c r="A412" i="1"/>
  <c r="F412" i="1"/>
  <c r="I412" i="1"/>
  <c r="A413" i="1"/>
  <c r="F413" i="1"/>
  <c r="I413" i="1"/>
  <c r="Q413" i="1"/>
  <c r="A414" i="1"/>
  <c r="F414" i="1"/>
  <c r="I414" i="1"/>
  <c r="Q414" i="1"/>
  <c r="A415" i="1"/>
  <c r="F415" i="1"/>
  <c r="I415" i="1"/>
  <c r="Q415" i="1"/>
  <c r="A416" i="1"/>
  <c r="F416" i="1"/>
  <c r="I416" i="1"/>
  <c r="Q416" i="1"/>
  <c r="A417" i="1"/>
  <c r="F417" i="1"/>
  <c r="I417" i="1"/>
  <c r="Q417" i="1"/>
  <c r="A418" i="1"/>
  <c r="F418" i="1"/>
  <c r="I418" i="1"/>
  <c r="Q418" i="1"/>
  <c r="A419" i="1"/>
  <c r="F419" i="1"/>
  <c r="I419" i="1"/>
  <c r="Q419" i="1"/>
  <c r="A420" i="1"/>
  <c r="F420" i="1"/>
  <c r="I420" i="1"/>
  <c r="Q420" i="1"/>
  <c r="A421" i="1"/>
  <c r="F421" i="1"/>
  <c r="I421" i="1"/>
  <c r="Q421" i="1"/>
  <c r="A422" i="1"/>
  <c r="F422" i="1"/>
  <c r="I422" i="1"/>
  <c r="Q422" i="1"/>
  <c r="A423" i="1"/>
  <c r="F423" i="1"/>
  <c r="I423" i="1"/>
  <c r="Q423" i="1"/>
  <c r="A424" i="1"/>
  <c r="F424" i="1"/>
  <c r="I424" i="1"/>
  <c r="Q424" i="1"/>
  <c r="N428" i="1"/>
  <c r="F280" i="1"/>
  <c r="F221" i="1"/>
  <c r="Q173" i="1"/>
  <c r="F182" i="1"/>
  <c r="Q223" i="1"/>
  <c r="Q221" i="1"/>
  <c r="Q220" i="1"/>
  <c r="Q218" i="1"/>
  <c r="Q217" i="1"/>
  <c r="Q215" i="1"/>
  <c r="Q213" i="1"/>
  <c r="Q212" i="1"/>
  <c r="Q206" i="1"/>
  <c r="Q205" i="1"/>
  <c r="Q204" i="1"/>
  <c r="Q203" i="1"/>
  <c r="Q202" i="1"/>
  <c r="Q201" i="1"/>
  <c r="Q200" i="1"/>
  <c r="Q199" i="1"/>
  <c r="Q198" i="1"/>
  <c r="Q197" i="1"/>
  <c r="Q192" i="1"/>
  <c r="Q189" i="1"/>
  <c r="Q188" i="1"/>
  <c r="Q187" i="1"/>
  <c r="Q186" i="1"/>
  <c r="F223" i="1"/>
  <c r="F222" i="1"/>
  <c r="F220" i="1"/>
  <c r="F219" i="1"/>
  <c r="F218" i="1"/>
  <c r="F217" i="1"/>
  <c r="F216" i="1"/>
  <c r="F215" i="1"/>
  <c r="F214" i="1"/>
  <c r="F212" i="1"/>
  <c r="F207" i="1"/>
  <c r="F206" i="1"/>
  <c r="F205" i="1"/>
  <c r="F204" i="1"/>
  <c r="F203" i="1"/>
  <c r="F202" i="1"/>
  <c r="F201" i="1"/>
  <c r="F198" i="1"/>
  <c r="F197" i="1"/>
  <c r="F192" i="1"/>
  <c r="F191" i="1"/>
  <c r="F188" i="1"/>
  <c r="F186" i="1"/>
  <c r="O179" i="1"/>
  <c r="Q177" i="1"/>
  <c r="S178" i="1" s="1"/>
  <c r="O177" i="1"/>
  <c r="P175" i="1"/>
  <c r="O175" i="1"/>
  <c r="F177" i="1"/>
  <c r="E177" i="1"/>
  <c r="D177" i="1"/>
  <c r="F175" i="1"/>
  <c r="D175" i="1"/>
  <c r="S235" i="1"/>
  <c r="S234" i="1"/>
  <c r="S233" i="1"/>
  <c r="E233" i="1"/>
  <c r="D233" i="1" s="1"/>
  <c r="S231" i="1"/>
  <c r="S230" i="1"/>
  <c r="N230" i="1"/>
  <c r="S225" i="1"/>
  <c r="S224" i="1"/>
  <c r="S211" i="1"/>
  <c r="N210" i="1"/>
  <c r="N208" i="1"/>
  <c r="N193" i="1"/>
  <c r="N180" i="1"/>
  <c r="A179" i="1"/>
  <c r="C169" i="1"/>
  <c r="A245" i="1"/>
  <c r="A246" i="1"/>
  <c r="E246" i="1"/>
  <c r="F246" i="1"/>
  <c r="G246" i="1"/>
  <c r="H246" i="1"/>
  <c r="I246" i="1"/>
  <c r="O246" i="1"/>
  <c r="P246" i="1"/>
  <c r="Q246" i="1"/>
  <c r="A247" i="1"/>
  <c r="A248" i="1"/>
  <c r="A249" i="1"/>
  <c r="D249" i="1"/>
  <c r="E249" i="1"/>
  <c r="F249" i="1"/>
  <c r="G249" i="1"/>
  <c r="H249" i="1"/>
  <c r="I249" i="1"/>
  <c r="O249" i="1"/>
  <c r="A250" i="1"/>
  <c r="A251" i="1"/>
  <c r="A252" i="1"/>
  <c r="D252" i="1"/>
  <c r="E252" i="1"/>
  <c r="F252" i="1"/>
  <c r="G252" i="1"/>
  <c r="H252" i="1"/>
  <c r="I252" i="1"/>
  <c r="O252" i="1"/>
  <c r="P252" i="1"/>
  <c r="Q252" i="1"/>
  <c r="A253" i="1"/>
  <c r="R253" i="1"/>
  <c r="A254" i="1"/>
  <c r="A255" i="1"/>
  <c r="D255" i="1"/>
  <c r="E255" i="1"/>
  <c r="M255" i="1" s="1"/>
  <c r="F255" i="1"/>
  <c r="G255" i="1"/>
  <c r="H255" i="1"/>
  <c r="I255" i="1"/>
  <c r="O255" i="1"/>
  <c r="R255" i="1" s="1"/>
  <c r="A256" i="1"/>
  <c r="M256" i="1"/>
  <c r="A257" i="1"/>
  <c r="A258" i="1"/>
  <c r="F258" i="1"/>
  <c r="I258" i="1"/>
  <c r="A259" i="1"/>
  <c r="R259" i="1"/>
  <c r="A260" i="1"/>
  <c r="S260" i="1"/>
  <c r="A261" i="1"/>
  <c r="A262" i="1"/>
  <c r="E262" i="1"/>
  <c r="F262" i="1"/>
  <c r="H262" i="1"/>
  <c r="I262" i="1"/>
  <c r="P262" i="1"/>
  <c r="Q262" i="1"/>
  <c r="R262" i="1"/>
  <c r="A263" i="1"/>
  <c r="A264" i="1"/>
  <c r="A265" i="1"/>
  <c r="E265" i="1"/>
  <c r="F265" i="1"/>
  <c r="F266" i="1" s="1"/>
  <c r="H265" i="1"/>
  <c r="I265" i="1"/>
  <c r="I266" i="1" s="1"/>
  <c r="P265" i="1"/>
  <c r="Q265" i="1"/>
  <c r="Q266" i="1" s="1"/>
  <c r="A266" i="1"/>
  <c r="A267" i="1"/>
  <c r="A268" i="1"/>
  <c r="A269" i="1"/>
  <c r="A270" i="1"/>
  <c r="A271" i="1"/>
  <c r="A272" i="1"/>
  <c r="F272" i="1"/>
  <c r="I272" i="1"/>
  <c r="Q272" i="1"/>
  <c r="A273" i="1"/>
  <c r="I273" i="1"/>
  <c r="A274" i="1"/>
  <c r="F274" i="1"/>
  <c r="I274" i="1"/>
  <c r="Q274" i="1"/>
  <c r="A275" i="1"/>
  <c r="F275" i="1"/>
  <c r="I275" i="1"/>
  <c r="A276" i="1"/>
  <c r="F276" i="1"/>
  <c r="I276" i="1"/>
  <c r="Q276" i="1"/>
  <c r="A277" i="1"/>
  <c r="I277" i="1"/>
  <c r="A278" i="1"/>
  <c r="F278" i="1"/>
  <c r="I278" i="1"/>
  <c r="Q278" i="1"/>
  <c r="A279" i="1"/>
  <c r="F279" i="1"/>
  <c r="I279" i="1"/>
  <c r="A280" i="1"/>
  <c r="I280" i="1"/>
  <c r="Q280" i="1"/>
  <c r="A281" i="1"/>
  <c r="F281" i="1"/>
  <c r="I281" i="1"/>
  <c r="Q281" i="1"/>
  <c r="A282" i="1"/>
  <c r="I282" i="1"/>
  <c r="Q282" i="1"/>
  <c r="A283" i="1"/>
  <c r="F283" i="1"/>
  <c r="I283" i="1"/>
  <c r="Q283" i="1"/>
  <c r="A284" i="1"/>
  <c r="A285" i="1"/>
  <c r="F285" i="1"/>
  <c r="I285" i="1"/>
  <c r="Q285" i="1"/>
  <c r="A286" i="1"/>
  <c r="F286" i="1"/>
  <c r="I286" i="1"/>
  <c r="A287" i="1"/>
  <c r="F287" i="1"/>
  <c r="I287" i="1"/>
  <c r="Q287" i="1"/>
  <c r="A288" i="1"/>
  <c r="F288" i="1"/>
  <c r="I288" i="1"/>
  <c r="Q288" i="1"/>
  <c r="A289" i="1"/>
  <c r="I289" i="1"/>
  <c r="Q289" i="1"/>
  <c r="A290" i="1"/>
  <c r="F290" i="1"/>
  <c r="I290" i="1"/>
  <c r="Q290" i="1"/>
  <c r="A291" i="1"/>
  <c r="F291" i="1"/>
  <c r="I291" i="1"/>
  <c r="Q291" i="1"/>
  <c r="A292" i="1"/>
  <c r="F292" i="1"/>
  <c r="I292" i="1"/>
  <c r="A293" i="1"/>
  <c r="F293" i="1"/>
  <c r="I293" i="1"/>
  <c r="Q293" i="1"/>
  <c r="A294" i="1"/>
  <c r="F294" i="1"/>
  <c r="I294" i="1"/>
  <c r="Q294" i="1"/>
  <c r="A295" i="1"/>
  <c r="F295" i="1"/>
  <c r="I295" i="1"/>
  <c r="Q295" i="1"/>
  <c r="A296" i="1"/>
  <c r="F296" i="1"/>
  <c r="I296" i="1"/>
  <c r="A297" i="1"/>
  <c r="F297" i="1"/>
  <c r="I297" i="1"/>
  <c r="Q297" i="1"/>
  <c r="A298" i="1"/>
  <c r="F298" i="1"/>
  <c r="I298" i="1"/>
  <c r="A299" i="1"/>
  <c r="F299" i="1"/>
  <c r="I299" i="1"/>
  <c r="Q299" i="1"/>
  <c r="A300" i="1"/>
  <c r="F300" i="1"/>
  <c r="I300" i="1"/>
  <c r="Q300" i="1"/>
  <c r="F301" i="1"/>
  <c r="I301" i="1"/>
  <c r="Q301" i="1"/>
  <c r="A302" i="1"/>
  <c r="F302" i="1"/>
  <c r="I302" i="1"/>
  <c r="Q302" i="1"/>
  <c r="N306" i="1"/>
  <c r="A313" i="1"/>
  <c r="A314" i="1"/>
  <c r="A315" i="1"/>
  <c r="D315" i="1"/>
  <c r="E315" i="1"/>
  <c r="F315" i="1"/>
  <c r="G315" i="1"/>
  <c r="H315" i="1"/>
  <c r="I315" i="1"/>
  <c r="J315" i="1"/>
  <c r="O315" i="1"/>
  <c r="R315" i="1" s="1"/>
  <c r="P315" i="1"/>
  <c r="Q315" i="1"/>
  <c r="A316" i="1"/>
  <c r="A317" i="1"/>
  <c r="A318" i="1"/>
  <c r="D318" i="1"/>
  <c r="E318" i="1"/>
  <c r="F318" i="1"/>
  <c r="G318" i="1"/>
  <c r="H318" i="1"/>
  <c r="I318" i="1"/>
  <c r="J318" i="1"/>
  <c r="O318" i="1"/>
  <c r="R318" i="1" s="1"/>
  <c r="P318" i="1"/>
  <c r="Q318" i="1"/>
  <c r="A319" i="1"/>
  <c r="A320" i="1"/>
  <c r="A321" i="1"/>
  <c r="D321" i="1"/>
  <c r="E321" i="1"/>
  <c r="F321" i="1"/>
  <c r="G321" i="1"/>
  <c r="H321" i="1"/>
  <c r="I321" i="1"/>
  <c r="J321" i="1"/>
  <c r="O321" i="1"/>
  <c r="R321" i="1" s="1"/>
  <c r="P321" i="1"/>
  <c r="Q321" i="1"/>
  <c r="A322" i="1"/>
  <c r="A323" i="1"/>
  <c r="Q448" i="1" l="1"/>
  <c r="P371" i="1"/>
  <c r="P375" i="1"/>
  <c r="P373" i="1"/>
  <c r="I263" i="1"/>
  <c r="P448" i="1"/>
  <c r="Q441" i="1"/>
  <c r="O182" i="1"/>
  <c r="Q438" i="1"/>
  <c r="Q444" i="1"/>
  <c r="R378" i="1"/>
  <c r="F441" i="1"/>
  <c r="Q316" i="1"/>
  <c r="S232" i="1"/>
  <c r="N236" i="1"/>
  <c r="N224" i="1"/>
  <c r="S193" i="1"/>
  <c r="S210" i="1"/>
  <c r="S236" i="1"/>
  <c r="S194" i="1"/>
  <c r="S226" i="1"/>
  <c r="F237" i="1"/>
  <c r="S208" i="1"/>
  <c r="Q237" i="1"/>
  <c r="S195" i="1"/>
  <c r="Q277" i="1"/>
  <c r="P383" i="1"/>
  <c r="Q190" i="1"/>
  <c r="Q196" i="1" s="1"/>
  <c r="Q467" i="1"/>
  <c r="Q175" i="1"/>
  <c r="E448" i="1"/>
  <c r="F464" i="1"/>
  <c r="Q412" i="1"/>
  <c r="F190" i="1"/>
  <c r="F179" i="1"/>
  <c r="D378" i="1"/>
  <c r="E378" i="1" s="1"/>
  <c r="AL540" i="1"/>
  <c r="F404" i="1"/>
  <c r="F448" i="1"/>
  <c r="E175" i="1"/>
  <c r="Q326" i="1"/>
  <c r="Q263" i="1"/>
  <c r="E326" i="1"/>
  <c r="F316" i="1"/>
  <c r="P377" i="1"/>
  <c r="R377" i="1"/>
  <c r="AO566" i="1"/>
  <c r="AC520" i="1"/>
  <c r="AA520" i="1" s="1"/>
  <c r="AC506" i="1"/>
  <c r="F444" i="1"/>
  <c r="D186" i="1"/>
  <c r="AO580" i="1"/>
  <c r="AI540" i="1"/>
  <c r="I322" i="1"/>
  <c r="I253" i="1"/>
  <c r="F438" i="1"/>
  <c r="Q179" i="1"/>
  <c r="P372" i="1"/>
  <c r="R372" i="1"/>
  <c r="Q377" i="1"/>
  <c r="F273" i="1"/>
  <c r="F284" i="1" s="1"/>
  <c r="F326" i="1"/>
  <c r="Q275" i="1"/>
  <c r="Q255" i="1"/>
  <c r="P255" i="1"/>
  <c r="F482" i="1"/>
  <c r="AC553" i="1"/>
  <c r="AA553" i="1" s="1"/>
  <c r="AL561" i="1"/>
  <c r="AO561" i="1" s="1"/>
  <c r="Q464" i="1"/>
  <c r="AB496" i="1"/>
  <c r="AB508" i="1"/>
  <c r="AC568" i="1"/>
  <c r="AA568" i="1" s="1"/>
  <c r="AO584" i="1"/>
  <c r="AI543" i="1"/>
  <c r="F303" i="1"/>
  <c r="E303" i="1" s="1"/>
  <c r="F401" i="1"/>
  <c r="F200" i="1"/>
  <c r="F209" i="1" s="1"/>
  <c r="F379" i="1"/>
  <c r="P179" i="1"/>
  <c r="E384" i="1"/>
  <c r="Q286" i="1"/>
  <c r="Q249" i="1"/>
  <c r="O376" i="1"/>
  <c r="D246" i="1"/>
  <c r="E248" i="1" s="1"/>
  <c r="I425" i="1"/>
  <c r="H425" i="1" s="1"/>
  <c r="I256" i="1"/>
  <c r="P326" i="1"/>
  <c r="G380" i="1"/>
  <c r="G385" i="1" s="1"/>
  <c r="I380" i="1"/>
  <c r="I385" i="1" s="1"/>
  <c r="I390" i="1" s="1"/>
  <c r="Q292" i="1"/>
  <c r="Q247" i="1"/>
  <c r="F253" i="1"/>
  <c r="P374" i="1"/>
  <c r="I342" i="1"/>
  <c r="H342" i="1" s="1"/>
  <c r="F361" i="1"/>
  <c r="M388" i="1"/>
  <c r="Q361" i="1"/>
  <c r="Q342" i="1"/>
  <c r="I406" i="1"/>
  <c r="F342" i="1"/>
  <c r="F425" i="1"/>
  <c r="E425" i="1" s="1"/>
  <c r="Q406" i="1"/>
  <c r="P379" i="1"/>
  <c r="R379" i="1"/>
  <c r="I361" i="1"/>
  <c r="I284" i="1"/>
  <c r="H284" i="1" s="1"/>
  <c r="F187" i="1"/>
  <c r="D187" i="1" s="1"/>
  <c r="P248" i="1"/>
  <c r="P249" i="1"/>
  <c r="Q209" i="1"/>
  <c r="F259" i="1"/>
  <c r="F268" i="1" s="1"/>
  <c r="F247" i="1"/>
  <c r="Q253" i="1"/>
  <c r="I250" i="1"/>
  <c r="I319" i="1"/>
  <c r="Q273" i="1"/>
  <c r="P177" i="1"/>
  <c r="F227" i="1"/>
  <c r="S237" i="1"/>
  <c r="N195" i="1"/>
  <c r="N225" i="1"/>
  <c r="L237" i="1"/>
  <c r="N211" i="1"/>
  <c r="Q227" i="1"/>
  <c r="N194" i="1"/>
  <c r="N235" i="1"/>
  <c r="N226" i="1"/>
  <c r="N231" i="1"/>
  <c r="N233" i="1"/>
  <c r="N232" i="1"/>
  <c r="N234" i="1"/>
  <c r="F322" i="1"/>
  <c r="I259" i="1"/>
  <c r="I247" i="1"/>
  <c r="H248" i="1"/>
  <c r="H259" i="1"/>
  <c r="H268" i="1" s="1"/>
  <c r="Q322" i="1"/>
  <c r="S322" i="1"/>
  <c r="F319" i="1"/>
  <c r="F256" i="1"/>
  <c r="F250" i="1"/>
  <c r="Q319" i="1"/>
  <c r="F263" i="1"/>
  <c r="M262" i="1"/>
  <c r="I316" i="1"/>
  <c r="I303" i="1"/>
  <c r="H303" i="1" s="1"/>
  <c r="E259" i="1"/>
  <c r="E268" i="1" s="1"/>
  <c r="Q380" i="1" l="1"/>
  <c r="AL568" i="1"/>
  <c r="Q182" i="1"/>
  <c r="H380" i="1"/>
  <c r="Q482" i="1"/>
  <c r="Q484" i="1" s="1"/>
  <c r="P484" i="1" s="1"/>
  <c r="Q449" i="1"/>
  <c r="E464" i="1"/>
  <c r="Q425" i="1"/>
  <c r="P425" i="1" s="1"/>
  <c r="F406" i="1"/>
  <c r="F427" i="1" s="1"/>
  <c r="E427" i="1" s="1"/>
  <c r="AC555" i="1"/>
  <c r="AC570" i="1" s="1"/>
  <c r="D380" i="1"/>
  <c r="D385" i="1" s="1"/>
  <c r="N237" i="1"/>
  <c r="F449" i="1"/>
  <c r="AA506" i="1"/>
  <c r="Z566" i="1"/>
  <c r="AL553" i="1"/>
  <c r="E482" i="1"/>
  <c r="E179" i="1"/>
  <c r="Z558" i="1"/>
  <c r="Q256" i="1"/>
  <c r="F327" i="1"/>
  <c r="M326" i="1" s="1"/>
  <c r="Z499" i="1"/>
  <c r="Z563" i="1"/>
  <c r="F269" i="1"/>
  <c r="H361" i="1"/>
  <c r="F484" i="1"/>
  <c r="F486" i="1" s="1"/>
  <c r="Z505" i="1"/>
  <c r="P259" i="1"/>
  <c r="P268" i="1" s="1"/>
  <c r="Q363" i="1"/>
  <c r="Q365" i="1" s="1"/>
  <c r="Z560" i="1"/>
  <c r="Z562" i="1"/>
  <c r="Z527" i="1"/>
  <c r="AI527" i="1" s="1"/>
  <c r="F196" i="1"/>
  <c r="F229" i="1" s="1"/>
  <c r="F239" i="1" s="1"/>
  <c r="Z509" i="1"/>
  <c r="AI509" i="1" s="1"/>
  <c r="Z528" i="1"/>
  <c r="AI528" i="1" s="1"/>
  <c r="Z559" i="1"/>
  <c r="Z525" i="1"/>
  <c r="D179" i="1"/>
  <c r="D182" i="1" s="1"/>
  <c r="E182" i="1" s="1"/>
  <c r="E361" i="1"/>
  <c r="Z567" i="1"/>
  <c r="Z565" i="1"/>
  <c r="Z561" i="1"/>
  <c r="E484" i="1"/>
  <c r="P464" i="1"/>
  <c r="Q259" i="1"/>
  <c r="Q303" i="1"/>
  <c r="P303" i="1" s="1"/>
  <c r="Q250" i="1"/>
  <c r="P361" i="1" s="1"/>
  <c r="P376" i="1"/>
  <c r="O380" i="1"/>
  <c r="P380" i="1" s="1"/>
  <c r="F260" i="1"/>
  <c r="F380" i="1"/>
  <c r="F385" i="1" s="1"/>
  <c r="F390" i="1" s="1"/>
  <c r="P406" i="1"/>
  <c r="Q385" i="1"/>
  <c r="F363" i="1"/>
  <c r="E342" i="1"/>
  <c r="I363" i="1"/>
  <c r="I427" i="1"/>
  <c r="H406" i="1"/>
  <c r="H385" i="1"/>
  <c r="G390" i="1"/>
  <c r="H390" i="1" s="1"/>
  <c r="Q284" i="1"/>
  <c r="Q229" i="1"/>
  <c r="E284" i="1"/>
  <c r="F305" i="1"/>
  <c r="I268" i="1"/>
  <c r="I260" i="1"/>
  <c r="I305" i="1"/>
  <c r="H305" i="1" s="1"/>
  <c r="P182" i="1" l="1"/>
  <c r="O186" i="1"/>
  <c r="Q427" i="1"/>
  <c r="P427" i="1" s="1"/>
  <c r="O187" i="1"/>
  <c r="AA555" i="1"/>
  <c r="E380" i="1"/>
  <c r="P482" i="1"/>
  <c r="E406" i="1"/>
  <c r="Q486" i="1"/>
  <c r="P363" i="1"/>
  <c r="Z519" i="1"/>
  <c r="AI519" i="1" s="1"/>
  <c r="Z518" i="1"/>
  <c r="AI518" i="1" s="1"/>
  <c r="Z534" i="1"/>
  <c r="AI534" i="1" s="1"/>
  <c r="Z551" i="1"/>
  <c r="Z532" i="1"/>
  <c r="AI532" i="1" s="1"/>
  <c r="Z552" i="1"/>
  <c r="AI552" i="1" s="1"/>
  <c r="Z531" i="1"/>
  <c r="AI531" i="1" s="1"/>
  <c r="Z514" i="1"/>
  <c r="AI514" i="1" s="1"/>
  <c r="Z516" i="1"/>
  <c r="AI516" i="1" s="1"/>
  <c r="Z510" i="1"/>
  <c r="AI510" i="1" s="1"/>
  <c r="AI499" i="1"/>
  <c r="Z535" i="1"/>
  <c r="Z497" i="1"/>
  <c r="Z496" i="1"/>
  <c r="Z511" i="1"/>
  <c r="AI511" i="1" s="1"/>
  <c r="Z524" i="1"/>
  <c r="Z502" i="1"/>
  <c r="Z500" i="1"/>
  <c r="Z517" i="1"/>
  <c r="AI517" i="1" s="1"/>
  <c r="Z522" i="1"/>
  <c r="AI522" i="1" s="1"/>
  <c r="Z513" i="1"/>
  <c r="Z584" i="1"/>
  <c r="AI584" i="1" s="1"/>
  <c r="AI525" i="1"/>
  <c r="Z557" i="1"/>
  <c r="Z498" i="1"/>
  <c r="AF561" i="1"/>
  <c r="Z537" i="1"/>
  <c r="AI537" i="1" s="1"/>
  <c r="Z538" i="1"/>
  <c r="AI538" i="1" s="1"/>
  <c r="Z521" i="1"/>
  <c r="AI521" i="1" s="1"/>
  <c r="Z533" i="1"/>
  <c r="Z501" i="1"/>
  <c r="Z523" i="1"/>
  <c r="AI523" i="1" s="1"/>
  <c r="Z503" i="1"/>
  <c r="Z512" i="1"/>
  <c r="AI512" i="1" s="1"/>
  <c r="Z508" i="1"/>
  <c r="AI505" i="1"/>
  <c r="Z529" i="1"/>
  <c r="AI529" i="1" s="1"/>
  <c r="Z582" i="1"/>
  <c r="Z530" i="1"/>
  <c r="AI530" i="1" s="1"/>
  <c r="Z526" i="1"/>
  <c r="Z515" i="1"/>
  <c r="AI515" i="1" s="1"/>
  <c r="Z536" i="1"/>
  <c r="Z504" i="1"/>
  <c r="AC576" i="1"/>
  <c r="AB576" i="1" s="1"/>
  <c r="AB570" i="1"/>
  <c r="Q260" i="1"/>
  <c r="Q268" i="1"/>
  <c r="Q269" i="1" s="1"/>
  <c r="F429" i="1"/>
  <c r="O385" i="1"/>
  <c r="P385" i="1" s="1"/>
  <c r="Q305" i="1"/>
  <c r="P305" i="1" s="1"/>
  <c r="P284" i="1"/>
  <c r="Q390" i="1"/>
  <c r="H427" i="1"/>
  <c r="I429" i="1"/>
  <c r="F365" i="1"/>
  <c r="E363" i="1"/>
  <c r="E385" i="1"/>
  <c r="D390" i="1"/>
  <c r="I365" i="1"/>
  <c r="H363" i="1"/>
  <c r="Q239" i="1"/>
  <c r="I307" i="1"/>
  <c r="I269" i="1"/>
  <c r="E305" i="1"/>
  <c r="F307" i="1"/>
  <c r="O390" i="1" l="1"/>
  <c r="P390" i="1" s="1"/>
  <c r="AI536" i="1"/>
  <c r="AI498" i="1"/>
  <c r="Z506" i="1"/>
  <c r="AI496" i="1"/>
  <c r="AI508" i="1"/>
  <c r="Z520" i="1"/>
  <c r="AI500" i="1"/>
  <c r="AI535" i="1"/>
  <c r="Q307" i="1"/>
  <c r="AI526" i="1"/>
  <c r="AI582" i="1"/>
  <c r="AI551" i="1"/>
  <c r="Z553" i="1"/>
  <c r="AI501" i="1"/>
  <c r="AI513" i="1"/>
  <c r="AI497" i="1"/>
  <c r="AI557" i="1"/>
  <c r="Z568" i="1"/>
  <c r="Z539" i="1"/>
  <c r="AI524" i="1"/>
  <c r="AI504" i="1"/>
  <c r="AI503" i="1"/>
  <c r="AI502" i="1"/>
  <c r="AI533" i="1"/>
  <c r="AH561" i="1"/>
  <c r="AI561" i="1" s="1"/>
  <c r="AN561" i="1"/>
  <c r="E390" i="1"/>
  <c r="Q429" i="1"/>
  <c r="AI553" i="1" l="1"/>
  <c r="Z555" i="1"/>
  <c r="A110" i="1" l="1"/>
  <c r="A109" i="1"/>
  <c r="R99" i="1" l="1"/>
  <c r="Q99" i="1"/>
  <c r="I99" i="1"/>
  <c r="F99" i="1"/>
  <c r="B99" i="1"/>
  <c r="A99" i="1" s="1"/>
  <c r="A100" i="1"/>
  <c r="A101" i="1"/>
  <c r="D101" i="1"/>
  <c r="E101" i="1" s="1"/>
  <c r="F101" i="1"/>
  <c r="G101" i="1"/>
  <c r="I101" i="1"/>
  <c r="O101" i="1"/>
  <c r="Q101" i="1"/>
  <c r="A102" i="1"/>
  <c r="A103" i="1"/>
  <c r="D103" i="1"/>
  <c r="E103" i="1" s="1"/>
  <c r="F103" i="1"/>
  <c r="G103" i="1"/>
  <c r="H103" i="1" s="1"/>
  <c r="I103" i="1"/>
  <c r="J103" i="1"/>
  <c r="O103" i="1"/>
  <c r="Q103" i="1"/>
  <c r="A104" i="1"/>
  <c r="D104" i="1"/>
  <c r="E104" i="1" s="1"/>
  <c r="F104" i="1"/>
  <c r="G104" i="1"/>
  <c r="H104" i="1" s="1"/>
  <c r="I104" i="1"/>
  <c r="J104" i="1"/>
  <c r="O104" i="1"/>
  <c r="Q104" i="1"/>
  <c r="A105" i="1"/>
  <c r="D105" i="1"/>
  <c r="F105" i="1"/>
  <c r="G105" i="1"/>
  <c r="H105" i="1" s="1"/>
  <c r="I105" i="1"/>
  <c r="J105" i="1"/>
  <c r="O105" i="1"/>
  <c r="Q105" i="1"/>
  <c r="A106" i="1"/>
  <c r="D106" i="1"/>
  <c r="E106" i="1" s="1"/>
  <c r="G106" i="1"/>
  <c r="H106" i="1"/>
  <c r="A107" i="1"/>
  <c r="A108" i="1"/>
  <c r="A111" i="1"/>
  <c r="A112" i="1"/>
  <c r="A113" i="1"/>
  <c r="F113" i="1"/>
  <c r="I113" i="1"/>
  <c r="G113" i="1" s="1"/>
  <c r="Q113" i="1"/>
  <c r="A114" i="1"/>
  <c r="F114" i="1"/>
  <c r="I114" i="1"/>
  <c r="Q114" i="1"/>
  <c r="A115" i="1"/>
  <c r="F115" i="1"/>
  <c r="I115" i="1"/>
  <c r="Q115" i="1"/>
  <c r="A116" i="1"/>
  <c r="F116" i="1"/>
  <c r="I116" i="1"/>
  <c r="Q116" i="1"/>
  <c r="A117" i="1"/>
  <c r="F117" i="1"/>
  <c r="I117" i="1"/>
  <c r="Q117" i="1"/>
  <c r="A118" i="1"/>
  <c r="F118" i="1"/>
  <c r="I118" i="1"/>
  <c r="Q118" i="1"/>
  <c r="A119" i="1"/>
  <c r="F119" i="1"/>
  <c r="I119" i="1"/>
  <c r="Q119" i="1"/>
  <c r="A120" i="1"/>
  <c r="F120" i="1"/>
  <c r="I120" i="1"/>
  <c r="Q120" i="1"/>
  <c r="A121" i="1"/>
  <c r="F121" i="1"/>
  <c r="I121" i="1"/>
  <c r="Q121" i="1"/>
  <c r="A122" i="1"/>
  <c r="F122" i="1"/>
  <c r="I122" i="1"/>
  <c r="Q122" i="1"/>
  <c r="A123" i="1"/>
  <c r="A124" i="1"/>
  <c r="F124" i="1"/>
  <c r="I124" i="1"/>
  <c r="Q124" i="1"/>
  <c r="A125" i="1"/>
  <c r="F125" i="1"/>
  <c r="I125" i="1"/>
  <c r="Q125" i="1"/>
  <c r="A126" i="1"/>
  <c r="F126" i="1"/>
  <c r="I126" i="1"/>
  <c r="Q126" i="1"/>
  <c r="A127" i="1"/>
  <c r="F127" i="1"/>
  <c r="I127" i="1"/>
  <c r="Q127" i="1"/>
  <c r="A128" i="1"/>
  <c r="F128" i="1"/>
  <c r="I128" i="1"/>
  <c r="Q128" i="1"/>
  <c r="A129" i="1"/>
  <c r="F129" i="1"/>
  <c r="I129" i="1"/>
  <c r="Q129" i="1"/>
  <c r="A130" i="1"/>
  <c r="F130" i="1"/>
  <c r="I130" i="1"/>
  <c r="Q130" i="1"/>
  <c r="A131" i="1"/>
  <c r="F131" i="1"/>
  <c r="I131" i="1"/>
  <c r="Q131" i="1"/>
  <c r="A132" i="1"/>
  <c r="F132" i="1"/>
  <c r="I132" i="1"/>
  <c r="Q132" i="1"/>
  <c r="A133" i="1"/>
  <c r="F133" i="1"/>
  <c r="I133" i="1"/>
  <c r="Q133" i="1"/>
  <c r="A134" i="1"/>
  <c r="F134" i="1"/>
  <c r="I134" i="1"/>
  <c r="Q134" i="1"/>
  <c r="A135" i="1"/>
  <c r="F135" i="1"/>
  <c r="I135" i="1"/>
  <c r="Q135" i="1"/>
  <c r="A136" i="1"/>
  <c r="A137" i="1"/>
  <c r="F137" i="1"/>
  <c r="I137" i="1"/>
  <c r="Q137" i="1"/>
  <c r="A138" i="1"/>
  <c r="F138" i="1"/>
  <c r="I138" i="1"/>
  <c r="Q138" i="1"/>
  <c r="A139" i="1"/>
  <c r="F139" i="1"/>
  <c r="I139" i="1"/>
  <c r="Q139" i="1"/>
  <c r="A140" i="1"/>
  <c r="F140" i="1"/>
  <c r="I140" i="1"/>
  <c r="Q140" i="1"/>
  <c r="A141" i="1"/>
  <c r="F141" i="1"/>
  <c r="I141" i="1"/>
  <c r="Q141" i="1"/>
  <c r="A142" i="1"/>
  <c r="F142" i="1"/>
  <c r="I142" i="1"/>
  <c r="Q142" i="1"/>
  <c r="A143" i="1"/>
  <c r="F143" i="1"/>
  <c r="I143" i="1"/>
  <c r="Q143" i="1"/>
  <c r="A144" i="1"/>
  <c r="F144" i="1"/>
  <c r="I144" i="1"/>
  <c r="Q144" i="1"/>
  <c r="A145" i="1"/>
  <c r="F145" i="1"/>
  <c r="I145" i="1"/>
  <c r="Q145" i="1"/>
  <c r="A146" i="1"/>
  <c r="F146" i="1"/>
  <c r="I146" i="1"/>
  <c r="Q146" i="1"/>
  <c r="A147" i="1"/>
  <c r="F147" i="1"/>
  <c r="I147" i="1"/>
  <c r="Q147" i="1"/>
  <c r="A148" i="1"/>
  <c r="F148" i="1"/>
  <c r="I148" i="1"/>
  <c r="Q148" i="1"/>
  <c r="A149" i="1"/>
  <c r="F149" i="1"/>
  <c r="I149" i="1"/>
  <c r="Q149" i="1"/>
  <c r="A150" i="1"/>
  <c r="F150" i="1"/>
  <c r="I150" i="1"/>
  <c r="Q150" i="1"/>
  <c r="A151" i="1"/>
  <c r="F151" i="1"/>
  <c r="I151" i="1"/>
  <c r="Q151" i="1"/>
  <c r="A152" i="1"/>
  <c r="F152" i="1"/>
  <c r="I152" i="1"/>
  <c r="Q152" i="1"/>
  <c r="A153" i="1"/>
  <c r="F153" i="1"/>
  <c r="I153" i="1"/>
  <c r="Q153" i="1"/>
  <c r="A154" i="1"/>
  <c r="A155" i="1"/>
  <c r="A156" i="1"/>
  <c r="A157" i="1"/>
  <c r="F157" i="1"/>
  <c r="I157" i="1"/>
  <c r="L157" i="1"/>
  <c r="Q157" i="1"/>
  <c r="A158" i="1"/>
  <c r="F158" i="1"/>
  <c r="I158" i="1"/>
  <c r="Q158" i="1"/>
  <c r="A159" i="1"/>
  <c r="F159" i="1"/>
  <c r="I159" i="1"/>
  <c r="Q159" i="1"/>
  <c r="A160" i="1"/>
  <c r="F160" i="1"/>
  <c r="I160" i="1"/>
  <c r="Q160" i="1"/>
  <c r="A161" i="1"/>
  <c r="F161" i="1"/>
  <c r="I161" i="1"/>
  <c r="Q161" i="1"/>
  <c r="A162" i="1"/>
  <c r="F162" i="1"/>
  <c r="I162" i="1"/>
  <c r="Q162" i="1"/>
  <c r="A163" i="1"/>
  <c r="F163" i="1"/>
  <c r="I163" i="1"/>
  <c r="Q163" i="1"/>
  <c r="B19" i="1"/>
  <c r="A19" i="1" s="1"/>
  <c r="F19" i="1"/>
  <c r="I19" i="1"/>
  <c r="L19" i="1"/>
  <c r="Q19" i="1"/>
  <c r="R19" i="1"/>
  <c r="O113" i="1" l="1"/>
  <c r="N19" i="1"/>
  <c r="N157" i="1"/>
  <c r="I106" i="1"/>
  <c r="Q106" i="1"/>
  <c r="O114" i="1" s="1"/>
  <c r="P101" i="1"/>
  <c r="I136" i="1"/>
  <c r="H136" i="1" s="1"/>
  <c r="S19" i="1"/>
  <c r="F123" i="1"/>
  <c r="F106" i="1"/>
  <c r="D113" i="1" s="1"/>
  <c r="F136" i="1"/>
  <c r="E136" i="1" s="1"/>
  <c r="I154" i="1"/>
  <c r="H154" i="1" s="1"/>
  <c r="F164" i="1"/>
  <c r="Q164" i="1"/>
  <c r="E105" i="1"/>
  <c r="F154" i="1"/>
  <c r="E154" i="1" s="1"/>
  <c r="S157" i="1"/>
  <c r="I164" i="1"/>
  <c r="I123" i="1"/>
  <c r="G114" i="1"/>
  <c r="Q154" i="1"/>
  <c r="P154" i="1" s="1"/>
  <c r="Q136" i="1"/>
  <c r="P136" i="1" s="1"/>
  <c r="Q123" i="1"/>
  <c r="H101" i="1"/>
  <c r="N164" i="1" l="1"/>
  <c r="F156" i="1"/>
  <c r="E156" i="1" s="1"/>
  <c r="E123" i="1"/>
  <c r="D114" i="1"/>
  <c r="I156" i="1"/>
  <c r="H123" i="1"/>
  <c r="Q156" i="1"/>
  <c r="P123" i="1"/>
  <c r="P156" i="1" l="1"/>
  <c r="H156" i="1"/>
  <c r="I166" i="1"/>
  <c r="S1" i="1" l="1"/>
  <c r="S242" i="1" l="1"/>
  <c r="S432" i="1"/>
  <c r="S367" i="1"/>
  <c r="S310" i="1"/>
  <c r="AO489" i="1"/>
  <c r="AO572" i="1"/>
  <c r="S169" i="1"/>
  <c r="S89" i="1"/>
  <c r="D96" i="1" l="1"/>
  <c r="F96" i="1"/>
  <c r="G96" i="1"/>
  <c r="H96" i="1" s="1"/>
  <c r="I96" i="1"/>
  <c r="A96" i="1"/>
  <c r="E96" i="1" l="1"/>
  <c r="O96" i="1" l="1"/>
  <c r="Q96" i="1"/>
  <c r="P96" i="1" l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F93" i="1" l="1"/>
  <c r="Q95" i="1" l="1"/>
  <c r="O95" i="1"/>
  <c r="Q94" i="1"/>
  <c r="O94" i="1"/>
  <c r="I95" i="1"/>
  <c r="G95" i="1"/>
  <c r="I94" i="1"/>
  <c r="G94" i="1"/>
  <c r="F95" i="1"/>
  <c r="F94" i="1"/>
  <c r="D95" i="1"/>
  <c r="D94" i="1"/>
  <c r="Q93" i="1"/>
  <c r="I93" i="1"/>
  <c r="Q82" i="1"/>
  <c r="Q81" i="1"/>
  <c r="Q80" i="1"/>
  <c r="Q79" i="1"/>
  <c r="Q78" i="1"/>
  <c r="Q77" i="1"/>
  <c r="Q76" i="1"/>
  <c r="Q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G97" i="1"/>
  <c r="D97" i="1"/>
  <c r="F97" i="1"/>
  <c r="F109" i="1" s="1"/>
  <c r="Q97" i="1"/>
  <c r="Q109" i="1" s="1"/>
  <c r="O97" i="1"/>
  <c r="H94" i="1"/>
  <c r="P94" i="1"/>
  <c r="H95" i="1"/>
  <c r="P95" i="1"/>
  <c r="Q83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69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Q40" i="1"/>
  <c r="Q39" i="1"/>
  <c r="Q38" i="1"/>
  <c r="Q37" i="1"/>
  <c r="Q36" i="1"/>
  <c r="Q35" i="1"/>
  <c r="Q34" i="1"/>
  <c r="Q33" i="1"/>
  <c r="Q32" i="1"/>
  <c r="Q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I23" i="1"/>
  <c r="I22" i="1"/>
  <c r="I21" i="1"/>
  <c r="F23" i="1"/>
  <c r="F22" i="1"/>
  <c r="F21" i="1"/>
  <c r="Q17" i="1"/>
  <c r="O17" i="1"/>
  <c r="I17" i="1"/>
  <c r="G17" i="1"/>
  <c r="F17" i="1"/>
  <c r="D17" i="1"/>
  <c r="Q15" i="1"/>
  <c r="O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AL493" i="1" s="1"/>
  <c r="I5" i="1"/>
  <c r="F5" i="1"/>
  <c r="Z493" i="1" s="1"/>
  <c r="O109" i="1" l="1"/>
  <c r="O106" i="1"/>
  <c r="P106" i="1" s="1"/>
  <c r="P105" i="1"/>
  <c r="P104" i="1"/>
  <c r="P103" i="1"/>
  <c r="Q166" i="1"/>
  <c r="P209" i="1"/>
  <c r="P227" i="1"/>
  <c r="P196" i="1"/>
  <c r="P229" i="1"/>
  <c r="F166" i="1"/>
  <c r="E229" i="1"/>
  <c r="E227" i="1"/>
  <c r="E196" i="1"/>
  <c r="E209" i="1"/>
  <c r="E194" i="1"/>
  <c r="E195" i="1"/>
  <c r="E193" i="1"/>
  <c r="P109" i="1"/>
  <c r="D109" i="1"/>
  <c r="E109" i="1" s="1"/>
  <c r="E117" i="1"/>
  <c r="E116" i="1"/>
  <c r="E114" i="1"/>
  <c r="E120" i="1"/>
  <c r="E113" i="1"/>
  <c r="E119" i="1"/>
  <c r="E115" i="1"/>
  <c r="E122" i="1"/>
  <c r="E118" i="1"/>
  <c r="E121" i="1"/>
  <c r="H97" i="1"/>
  <c r="H121" i="1"/>
  <c r="H116" i="1"/>
  <c r="H113" i="1"/>
  <c r="H120" i="1"/>
  <c r="H118" i="1"/>
  <c r="H115" i="1"/>
  <c r="H119" i="1"/>
  <c r="H114" i="1"/>
  <c r="H122" i="1"/>
  <c r="H117" i="1"/>
  <c r="N69" i="1"/>
  <c r="S69" i="1"/>
  <c r="O13" i="2" l="1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H10" i="2" l="1"/>
  <c r="Q10" i="2"/>
  <c r="I13" i="2"/>
  <c r="E13" i="2"/>
  <c r="H98" i="1"/>
  <c r="A9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B40" i="1"/>
  <c r="A40" i="1" s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8" i="1"/>
  <c r="A18" i="1" s="1"/>
  <c r="P17" i="1"/>
  <c r="E17" i="1"/>
  <c r="B17" i="1"/>
  <c r="A17" i="1" s="1"/>
  <c r="B16" i="1"/>
  <c r="A16" i="1" s="1"/>
  <c r="B15" i="1"/>
  <c r="P15" i="1" s="1"/>
  <c r="B14" i="1"/>
  <c r="A14" i="1" s="1"/>
  <c r="O13" i="1"/>
  <c r="B13" i="1"/>
  <c r="A13" i="1" s="1"/>
  <c r="P12" i="1"/>
  <c r="B12" i="1"/>
  <c r="A12" i="1" s="1"/>
  <c r="P11" i="1"/>
  <c r="B11" i="1"/>
  <c r="P10" i="1"/>
  <c r="B10" i="1"/>
  <c r="A10" i="1" s="1"/>
  <c r="P9" i="1"/>
  <c r="B9" i="1"/>
  <c r="P8" i="1"/>
  <c r="B8" i="1"/>
  <c r="A8" i="1" s="1"/>
  <c r="B7" i="1"/>
  <c r="P7" i="1" s="1"/>
  <c r="B6" i="1"/>
  <c r="A6" i="1" s="1"/>
  <c r="B5" i="1"/>
  <c r="A5" i="1" s="1"/>
  <c r="AK519" i="1" l="1"/>
  <c r="AK505" i="1"/>
  <c r="AK584" i="1"/>
  <c r="A7" i="1"/>
  <c r="I10" i="2"/>
  <c r="A21" i="1"/>
  <c r="A23" i="1"/>
  <c r="O24" i="1"/>
  <c r="A33" i="1"/>
  <c r="A15" i="1"/>
  <c r="P6" i="1"/>
  <c r="H6" i="1"/>
  <c r="H22" i="1"/>
  <c r="A32" i="1"/>
  <c r="A44" i="1"/>
  <c r="A52" i="1"/>
  <c r="A76" i="1"/>
  <c r="E95" i="1"/>
  <c r="C89" i="1"/>
  <c r="A81" i="1"/>
  <c r="P21" i="1"/>
  <c r="A9" i="1"/>
  <c r="H17" i="1"/>
  <c r="E21" i="1"/>
  <c r="I24" i="1"/>
  <c r="E23" i="1"/>
  <c r="A39" i="1"/>
  <c r="P39" i="1"/>
  <c r="Q54" i="1"/>
  <c r="A46" i="1"/>
  <c r="F72" i="1"/>
  <c r="A78" i="1"/>
  <c r="P97" i="1"/>
  <c r="E12" i="1"/>
  <c r="A11" i="1"/>
  <c r="F24" i="1"/>
  <c r="D32" i="1" s="1"/>
  <c r="H23" i="1"/>
  <c r="A35" i="1"/>
  <c r="A80" i="1"/>
  <c r="E94" i="1"/>
  <c r="A77" i="1"/>
  <c r="Q24" i="1"/>
  <c r="O32" i="1" s="1"/>
  <c r="A42" i="1"/>
  <c r="A82" i="1"/>
  <c r="E10" i="1"/>
  <c r="O27" i="1"/>
  <c r="P23" i="1"/>
  <c r="A79" i="1"/>
  <c r="AL503" i="1" l="1"/>
  <c r="AK503" i="1" s="1"/>
  <c r="AL504" i="1"/>
  <c r="AK504" i="1" s="1"/>
  <c r="AL536" i="1"/>
  <c r="AL527" i="1"/>
  <c r="AL529" i="1"/>
  <c r="AL510" i="1"/>
  <c r="AL515" i="1"/>
  <c r="AL498" i="1"/>
  <c r="AL518" i="1"/>
  <c r="AL502" i="1"/>
  <c r="AL521" i="1"/>
  <c r="AL526" i="1"/>
  <c r="AL524" i="1"/>
  <c r="AL516" i="1"/>
  <c r="AL534" i="1"/>
  <c r="AL528" i="1"/>
  <c r="AL511" i="1"/>
  <c r="AL517" i="1"/>
  <c r="AL522" i="1"/>
  <c r="AL531" i="1"/>
  <c r="AL530" i="1"/>
  <c r="AL499" i="1"/>
  <c r="AL508" i="1"/>
  <c r="AL523" i="1"/>
  <c r="AL532" i="1"/>
  <c r="AL509" i="1"/>
  <c r="AL500" i="1"/>
  <c r="AL533" i="1"/>
  <c r="AL525" i="1"/>
  <c r="AL496" i="1"/>
  <c r="AL501" i="1"/>
  <c r="AL497" i="1"/>
  <c r="P38" i="1"/>
  <c r="P40" i="1"/>
  <c r="P32" i="1"/>
  <c r="P35" i="1"/>
  <c r="P33" i="1"/>
  <c r="P36" i="1"/>
  <c r="P34" i="1"/>
  <c r="P31" i="1"/>
  <c r="P37" i="1"/>
  <c r="H12" i="1"/>
  <c r="H15" i="1"/>
  <c r="I13" i="1"/>
  <c r="E11" i="1"/>
  <c r="H7" i="1"/>
  <c r="H8" i="1"/>
  <c r="P22" i="1"/>
  <c r="E7" i="1"/>
  <c r="E15" i="1"/>
  <c r="P24" i="1"/>
  <c r="E6" i="1"/>
  <c r="E9" i="1"/>
  <c r="G13" i="1"/>
  <c r="E8" i="1"/>
  <c r="H10" i="1"/>
  <c r="E97" i="1"/>
  <c r="F41" i="1"/>
  <c r="Q41" i="1"/>
  <c r="Q13" i="1"/>
  <c r="F13" i="1"/>
  <c r="AK502" i="1" l="1"/>
  <c r="AL506" i="1"/>
  <c r="AK496" i="1"/>
  <c r="AK499" i="1"/>
  <c r="AL520" i="1"/>
  <c r="AK497" i="1"/>
  <c r="AK498" i="1"/>
  <c r="AK501" i="1"/>
  <c r="AO511" i="1"/>
  <c r="AO529" i="1"/>
  <c r="AO527" i="1"/>
  <c r="AL539" i="1"/>
  <c r="AO500" i="1"/>
  <c r="AK500" i="1"/>
  <c r="AO536" i="1"/>
  <c r="N14" i="1"/>
  <c r="F27" i="1"/>
  <c r="Z494" i="1" s="1"/>
  <c r="D31" i="1"/>
  <c r="O31" i="1"/>
  <c r="N9" i="2"/>
  <c r="N8" i="2" s="1"/>
  <c r="G27" i="1"/>
  <c r="H13" i="1"/>
  <c r="G24" i="1"/>
  <c r="H39" i="1" s="1"/>
  <c r="I54" i="1"/>
  <c r="I27" i="1"/>
  <c r="F54" i="1"/>
  <c r="D13" i="1"/>
  <c r="H11" i="1"/>
  <c r="Q27" i="1"/>
  <c r="AL494" i="1" s="1"/>
  <c r="P13" i="1"/>
  <c r="Q74" i="1"/>
  <c r="H9" i="1"/>
  <c r="I83" i="1"/>
  <c r="F83" i="1"/>
  <c r="I41" i="1"/>
  <c r="AL555" i="1" l="1"/>
  <c r="X494" i="1"/>
  <c r="X506" i="1"/>
  <c r="X520" i="1"/>
  <c r="X539" i="1"/>
  <c r="X553" i="1"/>
  <c r="X555" i="1"/>
  <c r="Z570" i="1"/>
  <c r="X568" i="1"/>
  <c r="AL570" i="1"/>
  <c r="AJ494" i="1"/>
  <c r="Y505" i="1"/>
  <c r="Y499" i="1"/>
  <c r="Y496" i="1"/>
  <c r="Y504" i="1"/>
  <c r="Y498" i="1"/>
  <c r="Y500" i="1"/>
  <c r="Y502" i="1"/>
  <c r="Y503" i="1"/>
  <c r="Y501" i="1"/>
  <c r="Y497" i="1"/>
  <c r="E41" i="1"/>
  <c r="M14" i="1"/>
  <c r="P41" i="1"/>
  <c r="E54" i="1"/>
  <c r="E72" i="1"/>
  <c r="H35" i="1"/>
  <c r="H32" i="1"/>
  <c r="P74" i="1"/>
  <c r="H54" i="1"/>
  <c r="Q85" i="1"/>
  <c r="P72" i="1"/>
  <c r="P27" i="1"/>
  <c r="P54" i="1"/>
  <c r="I74" i="1"/>
  <c r="I85" i="1" s="1"/>
  <c r="H41" i="1"/>
  <c r="G9" i="2"/>
  <c r="G8" i="2" s="1"/>
  <c r="H72" i="1"/>
  <c r="H33" i="1"/>
  <c r="H40" i="1"/>
  <c r="H24" i="1"/>
  <c r="H37" i="1"/>
  <c r="H38" i="1"/>
  <c r="H34" i="1"/>
  <c r="H31" i="1"/>
  <c r="H36" i="1"/>
  <c r="F74" i="1"/>
  <c r="D27" i="1"/>
  <c r="E13" i="1"/>
  <c r="D24" i="1"/>
  <c r="H27" i="1"/>
  <c r="Z576" i="1" l="1"/>
  <c r="Y570" i="1"/>
  <c r="AL576" i="1"/>
  <c r="J9" i="2"/>
  <c r="J8" i="2" s="1"/>
  <c r="O9" i="2"/>
  <c r="O8" i="2" s="1"/>
  <c r="E27" i="1"/>
  <c r="K9" i="2"/>
  <c r="K8" i="2" s="1"/>
  <c r="C10" i="2"/>
  <c r="E74" i="1"/>
  <c r="F85" i="1"/>
  <c r="E40" i="1"/>
  <c r="E24" i="1"/>
  <c r="E34" i="1"/>
  <c r="E36" i="1"/>
  <c r="E38" i="1"/>
  <c r="E37" i="1"/>
  <c r="E31" i="1"/>
  <c r="E33" i="1"/>
  <c r="E35" i="1"/>
  <c r="E32" i="1"/>
  <c r="E39" i="1"/>
  <c r="F9" i="2"/>
  <c r="F8" i="2" s="1"/>
  <c r="H74" i="1"/>
  <c r="AL585" i="1" l="1"/>
  <c r="AL575" i="1"/>
  <c r="Z585" i="1"/>
  <c r="Y585" i="1" s="1"/>
  <c r="Y576" i="1"/>
  <c r="Z575" i="1"/>
  <c r="Y575" i="1" s="1"/>
  <c r="C9" i="2"/>
  <c r="C8" i="2" s="1"/>
  <c r="P9" i="2"/>
  <c r="P8" i="2" s="1"/>
  <c r="B9" i="2"/>
  <c r="AK575" i="1" l="1"/>
  <c r="H9" i="2"/>
  <c r="H8" i="2" s="1"/>
  <c r="D9" i="2"/>
  <c r="B8" i="2"/>
  <c r="Q9" i="2" l="1"/>
  <c r="D10" i="2"/>
  <c r="D8" i="2" s="1"/>
  <c r="I9" i="2" l="1"/>
  <c r="I8" i="2" s="1"/>
  <c r="Q8" i="2"/>
  <c r="E9" i="2"/>
  <c r="E10" i="2" l="1"/>
  <c r="E8" i="2" s="1"/>
  <c r="L11" i="2" l="1"/>
  <c r="L10" i="2" l="1"/>
  <c r="M11" i="2" l="1"/>
  <c r="L9" i="2" l="1"/>
  <c r="L8" i="2" s="1"/>
  <c r="L173" i="1" l="1"/>
  <c r="L93" i="1"/>
  <c r="K262" i="1"/>
  <c r="K265" i="1"/>
  <c r="J255" i="1"/>
  <c r="J437" i="1"/>
  <c r="J377" i="1" l="1"/>
  <c r="L345" i="1"/>
  <c r="L127" i="1"/>
  <c r="L104" i="1"/>
  <c r="L255" i="1"/>
  <c r="L44" i="1"/>
  <c r="K175" i="1"/>
  <c r="J175" i="1"/>
  <c r="L70" i="1"/>
  <c r="L207" i="1"/>
  <c r="L443" i="1"/>
  <c r="L373" i="1"/>
  <c r="L159" i="1"/>
  <c r="L338" i="1"/>
  <c r="L330" i="1"/>
  <c r="L64" i="1"/>
  <c r="L461" i="1"/>
  <c r="S461" i="1" s="1"/>
  <c r="L6" i="1"/>
  <c r="L282" i="1"/>
  <c r="L115" i="1"/>
  <c r="L62" i="1"/>
  <c r="L291" i="1"/>
  <c r="L33" i="1"/>
  <c r="L279" i="1"/>
  <c r="L160" i="1"/>
  <c r="L401" i="1"/>
  <c r="L218" i="1"/>
  <c r="L192" i="1"/>
  <c r="L420" i="1"/>
  <c r="AF556" i="1"/>
  <c r="AF541" i="1"/>
  <c r="J96" i="1"/>
  <c r="L457" i="1"/>
  <c r="S457" i="1" s="1"/>
  <c r="L378" i="1"/>
  <c r="L477" i="1"/>
  <c r="S477" i="1" s="1"/>
  <c r="L453" i="1"/>
  <c r="S453" i="1" s="1"/>
  <c r="L47" i="1"/>
  <c r="L283" i="1"/>
  <c r="L200" i="1"/>
  <c r="J95" i="1"/>
  <c r="L468" i="1"/>
  <c r="S468" i="1" s="1"/>
  <c r="L410" i="1"/>
  <c r="L175" i="1"/>
  <c r="L343" i="1"/>
  <c r="L456" i="1"/>
  <c r="S456" i="1" s="1"/>
  <c r="L67" i="1"/>
  <c r="L148" i="1"/>
  <c r="L34" i="1"/>
  <c r="L299" i="1"/>
  <c r="L440" i="1"/>
  <c r="L138" i="1"/>
  <c r="L65" i="1"/>
  <c r="L296" i="1"/>
  <c r="L190" i="1"/>
  <c r="L354" i="1"/>
  <c r="K179" i="1"/>
  <c r="J179" i="1"/>
  <c r="L412" i="1"/>
  <c r="J252" i="1"/>
  <c r="R252" i="1" s="1"/>
  <c r="L216" i="1"/>
  <c r="L473" i="1"/>
  <c r="S473" i="1" s="1"/>
  <c r="K443" i="1"/>
  <c r="M443" i="1" s="1"/>
  <c r="AF579" i="1"/>
  <c r="AF547" i="1"/>
  <c r="L407" i="1"/>
  <c r="L262" i="1"/>
  <c r="L409" i="1"/>
  <c r="L21" i="1"/>
  <c r="L38" i="1"/>
  <c r="L56" i="1"/>
  <c r="L371" i="1"/>
  <c r="L116" i="1"/>
  <c r="L273" i="1"/>
  <c r="L96" i="1"/>
  <c r="L214" i="1"/>
  <c r="L471" i="1"/>
  <c r="S471" i="1" s="1"/>
  <c r="L460" i="1"/>
  <c r="S460" i="1" s="1"/>
  <c r="L346" i="1"/>
  <c r="L42" i="1"/>
  <c r="L77" i="1"/>
  <c r="L289" i="1"/>
  <c r="L37" i="1"/>
  <c r="L324" i="1"/>
  <c r="S324" i="1" s="1"/>
  <c r="L466" i="1"/>
  <c r="S466" i="1" s="1"/>
  <c r="L188" i="1"/>
  <c r="L68" i="1"/>
  <c r="L336" i="1"/>
  <c r="L341" i="1"/>
  <c r="L15" i="1"/>
  <c r="L186" i="1"/>
  <c r="L416" i="1"/>
  <c r="L293" i="1"/>
  <c r="K440" i="1"/>
  <c r="M440" i="1" s="1"/>
  <c r="AF542" i="1"/>
  <c r="J378" i="1"/>
  <c r="K378" i="1" s="1"/>
  <c r="L57" i="1"/>
  <c r="L51" i="1"/>
  <c r="K315" i="1"/>
  <c r="M315" i="1" s="1"/>
  <c r="J101" i="1"/>
  <c r="L294" i="1"/>
  <c r="L398" i="1"/>
  <c r="L220" i="1"/>
  <c r="L131" i="1"/>
  <c r="L292" i="1"/>
  <c r="L114" i="1"/>
  <c r="L221" i="1"/>
  <c r="L79" i="1"/>
  <c r="J7" i="1"/>
  <c r="L197" i="1"/>
  <c r="L396" i="1"/>
  <c r="L152" i="1"/>
  <c r="L153" i="1"/>
  <c r="L402" i="1"/>
  <c r="L81" i="1"/>
  <c r="L332" i="1"/>
  <c r="L469" i="1"/>
  <c r="S469" i="1" s="1"/>
  <c r="L215" i="1"/>
  <c r="L94" i="1"/>
  <c r="L344" i="1"/>
  <c r="L421" i="1"/>
  <c r="L32" i="1"/>
  <c r="L189" i="1"/>
  <c r="L437" i="1"/>
  <c r="L400" i="1"/>
  <c r="L249" i="1"/>
  <c r="J384" i="1"/>
  <c r="AF583" i="1"/>
  <c r="K318" i="1"/>
  <c r="L144" i="1"/>
  <c r="L58" i="1"/>
  <c r="K246" i="1"/>
  <c r="L122" i="1"/>
  <c r="L101" i="1"/>
  <c r="L99" i="1"/>
  <c r="L9" i="1"/>
  <c r="L206" i="1"/>
  <c r="L388" i="1"/>
  <c r="L117" i="1"/>
  <c r="L278" i="1"/>
  <c r="J11" i="1"/>
  <c r="L204" i="1"/>
  <c r="L403" i="1"/>
  <c r="L187" i="1"/>
  <c r="L22" i="1"/>
  <c r="J94" i="1"/>
  <c r="L339" i="1"/>
  <c r="L472" i="1"/>
  <c r="S472" i="1" s="1"/>
  <c r="J246" i="1"/>
  <c r="R246" i="1" s="1"/>
  <c r="L205" i="1"/>
  <c r="L372" i="1"/>
  <c r="L40" i="1"/>
  <c r="L202" i="1"/>
  <c r="L455" i="1"/>
  <c r="S455" i="1" s="1"/>
  <c r="J9" i="1"/>
  <c r="L258" i="1"/>
  <c r="K255" i="1"/>
  <c r="K437" i="1"/>
  <c r="AF545" i="1"/>
  <c r="J383" i="1"/>
  <c r="L23" i="1"/>
  <c r="L295" i="1"/>
  <c r="L191" i="1"/>
  <c r="L5" i="1"/>
  <c r="L158" i="1"/>
  <c r="L140" i="1"/>
  <c r="L213" i="1"/>
  <c r="L66" i="1"/>
  <c r="L414" i="1"/>
  <c r="L120" i="1"/>
  <c r="L395" i="1"/>
  <c r="J17" i="1"/>
  <c r="L418" i="1"/>
  <c r="L281" i="1"/>
  <c r="L285" i="1"/>
  <c r="L71" i="1"/>
  <c r="L118" i="1"/>
  <c r="L347" i="1"/>
  <c r="L476" i="1"/>
  <c r="S476" i="1" s="1"/>
  <c r="L274" i="1"/>
  <c r="L212" i="1"/>
  <c r="L374" i="1"/>
  <c r="L11" i="1"/>
  <c r="L55" i="1"/>
  <c r="L219" i="1"/>
  <c r="L462" i="1"/>
  <c r="S462" i="1" s="1"/>
  <c r="L49" i="1"/>
  <c r="L280" i="1"/>
  <c r="J375" i="1"/>
  <c r="AF550" i="1"/>
  <c r="AH550" i="1" s="1"/>
  <c r="AF549" i="1"/>
  <c r="K252" i="1"/>
  <c r="M252" i="1" s="1"/>
  <c r="L162" i="1"/>
  <c r="L419" i="1"/>
  <c r="L179" i="1"/>
  <c r="J371" i="1"/>
  <c r="L286" i="1"/>
  <c r="L151" i="1"/>
  <c r="L275" i="1"/>
  <c r="L300" i="1"/>
  <c r="L297" i="1"/>
  <c r="L478" i="1"/>
  <c r="S478" i="1" s="1"/>
  <c r="L124" i="1"/>
  <c r="L287" i="1"/>
  <c r="J443" i="1"/>
  <c r="R443" i="1" s="1"/>
  <c r="L39" i="1"/>
  <c r="L265" i="1"/>
  <c r="L266" i="1" s="1"/>
  <c r="L422" i="1"/>
  <c r="L353" i="1"/>
  <c r="L335" i="1"/>
  <c r="L125" i="1"/>
  <c r="L121" i="1"/>
  <c r="L351" i="1"/>
  <c r="L60" i="1"/>
  <c r="L315" i="1"/>
  <c r="L222" i="1"/>
  <c r="L383" i="1"/>
  <c r="L53" i="1"/>
  <c r="L75" i="1"/>
  <c r="L52" i="1"/>
  <c r="L59" i="1"/>
  <c r="L321" i="1"/>
  <c r="J388" i="1"/>
  <c r="K388" i="1" s="1"/>
  <c r="AF544" i="1"/>
  <c r="AF543" i="1"/>
  <c r="J373" i="1"/>
  <c r="L48" i="1"/>
  <c r="L143" i="1"/>
  <c r="J372" i="1"/>
  <c r="L377" i="1"/>
  <c r="L199" i="1"/>
  <c r="L459" i="1"/>
  <c r="S459" i="1" s="1"/>
  <c r="L337" i="1"/>
  <c r="L203" i="1"/>
  <c r="L12" i="1"/>
  <c r="L128" i="1"/>
  <c r="L350" i="1"/>
  <c r="J12" i="1"/>
  <c r="L61" i="1"/>
  <c r="L276" i="1"/>
  <c r="L454" i="1"/>
  <c r="S454" i="1" s="1"/>
  <c r="L376" i="1"/>
  <c r="L375" i="1"/>
  <c r="L142" i="1"/>
  <c r="L146" i="1"/>
  <c r="L358" i="1"/>
  <c r="K177" i="1"/>
  <c r="J177" i="1"/>
  <c r="L415" i="1"/>
  <c r="L394" i="1"/>
  <c r="L105" i="1"/>
  <c r="L126" i="1"/>
  <c r="L272" i="1"/>
  <c r="J10" i="1"/>
  <c r="L78" i="1"/>
  <c r="L333" i="1"/>
  <c r="AF581" i="1"/>
  <c r="AF546" i="1"/>
  <c r="J374" i="1"/>
  <c r="L35" i="1"/>
  <c r="L217" i="1"/>
  <c r="L458" i="1"/>
  <c r="S458" i="1" s="1"/>
  <c r="AF540" i="1"/>
  <c r="J376" i="1"/>
  <c r="L413" i="1"/>
  <c r="L356" i="1"/>
  <c r="L113" i="1"/>
  <c r="L405" i="1"/>
  <c r="L417" i="1"/>
  <c r="L36" i="1"/>
  <c r="L132" i="1"/>
  <c r="L357" i="1"/>
  <c r="L63" i="1"/>
  <c r="L80" i="1"/>
  <c r="L298" i="1"/>
  <c r="L465" i="1"/>
  <c r="L384" i="1"/>
  <c r="L201" i="1"/>
  <c r="L150" i="1"/>
  <c r="L379" i="1"/>
  <c r="L334" i="1"/>
  <c r="L10" i="1"/>
  <c r="L246" i="1"/>
  <c r="L397" i="1"/>
  <c r="L133" i="1"/>
  <c r="L130" i="1"/>
  <c r="L277" i="1"/>
  <c r="L43" i="1"/>
  <c r="L82" i="1"/>
  <c r="L340" i="1"/>
  <c r="K321" i="1"/>
  <c r="M321" i="1" s="1"/>
  <c r="AF578" i="1"/>
  <c r="AF580" i="1"/>
  <c r="K377" i="1"/>
  <c r="M377" i="1"/>
  <c r="L223" i="1"/>
  <c r="L331" i="1"/>
  <c r="L288" i="1"/>
  <c r="AF535" i="1"/>
  <c r="L349" i="1"/>
  <c r="L424" i="1"/>
  <c r="L161" i="1"/>
  <c r="L135" i="1"/>
  <c r="L470" i="1"/>
  <c r="S470" i="1" s="1"/>
  <c r="L474" i="1"/>
  <c r="S474" i="1" s="1"/>
  <c r="L45" i="1"/>
  <c r="L137" i="1"/>
  <c r="L360" i="1"/>
  <c r="L177" i="1"/>
  <c r="L95" i="1"/>
  <c r="L301" i="1"/>
  <c r="L475" i="1"/>
  <c r="S475" i="1" s="1"/>
  <c r="L7" i="1"/>
  <c r="L411" i="1"/>
  <c r="L404" i="1"/>
  <c r="J6" i="1"/>
  <c r="J15" i="1"/>
  <c r="J249" i="1"/>
  <c r="R249" i="1" s="1"/>
  <c r="L423" i="1"/>
  <c r="L163" i="1"/>
  <c r="L134" i="1"/>
  <c r="L302" i="1"/>
  <c r="L103" i="1"/>
  <c r="L119" i="1"/>
  <c r="L348" i="1"/>
  <c r="J379" i="1"/>
  <c r="K379" i="1" s="1"/>
  <c r="AF533" i="1"/>
  <c r="AF507" i="1"/>
  <c r="L149" i="1"/>
  <c r="L467" i="1"/>
  <c r="S467" i="1" s="1"/>
  <c r="L446" i="1"/>
  <c r="L76" i="1"/>
  <c r="L359" i="1"/>
  <c r="L8" i="1"/>
  <c r="L50" i="1"/>
  <c r="L141" i="1"/>
  <c r="L399" i="1"/>
  <c r="L145" i="1"/>
  <c r="L318" i="1"/>
  <c r="J8" i="1"/>
  <c r="L31" i="1"/>
  <c r="J440" i="1"/>
  <c r="R440" i="1" s="1"/>
  <c r="L290" i="1"/>
  <c r="L198" i="1"/>
  <c r="L408" i="1"/>
  <c r="L17" i="1"/>
  <c r="L46" i="1"/>
  <c r="L252" i="1"/>
  <c r="L452" i="1"/>
  <c r="L139" i="1"/>
  <c r="L355" i="1"/>
  <c r="L129" i="1"/>
  <c r="L147" i="1"/>
  <c r="L352" i="1"/>
  <c r="K249" i="1"/>
  <c r="AF526" i="1"/>
  <c r="AF548" i="1"/>
  <c r="AF513" i="1" l="1"/>
  <c r="M372" i="1"/>
  <c r="K372" i="1"/>
  <c r="N198" i="1"/>
  <c r="S198" i="1"/>
  <c r="S145" i="1"/>
  <c r="N145" i="1"/>
  <c r="S163" i="1"/>
  <c r="N163" i="1"/>
  <c r="N95" i="1"/>
  <c r="S95" i="1"/>
  <c r="AN580" i="1"/>
  <c r="AH580" i="1"/>
  <c r="S82" i="1"/>
  <c r="N82" i="1"/>
  <c r="N130" i="1"/>
  <c r="S130" i="1"/>
  <c r="AF565" i="1"/>
  <c r="S357" i="1"/>
  <c r="N357" i="1"/>
  <c r="AF557" i="1"/>
  <c r="N276" i="1"/>
  <c r="S276" i="1"/>
  <c r="N125" i="1"/>
  <c r="S125" i="1"/>
  <c r="N287" i="1"/>
  <c r="S287" i="1"/>
  <c r="S300" i="1"/>
  <c r="N300" i="1"/>
  <c r="R371" i="1"/>
  <c r="K371" i="1"/>
  <c r="J380" i="1"/>
  <c r="M371" i="1"/>
  <c r="N280" i="1"/>
  <c r="S280" i="1"/>
  <c r="S55" i="1"/>
  <c r="N55" i="1"/>
  <c r="L72" i="1"/>
  <c r="N258" i="1"/>
  <c r="S258" i="1"/>
  <c r="N40" i="1"/>
  <c r="S40" i="1"/>
  <c r="K40" i="1"/>
  <c r="R11" i="1"/>
  <c r="M11" i="1"/>
  <c r="K11" i="1"/>
  <c r="S388" i="1"/>
  <c r="R388" i="1" s="1"/>
  <c r="N388" i="1"/>
  <c r="S101" i="1"/>
  <c r="N101" i="1"/>
  <c r="S58" i="1"/>
  <c r="N58" i="1"/>
  <c r="L448" i="1"/>
  <c r="N437" i="1"/>
  <c r="S437" i="1"/>
  <c r="L438" i="1"/>
  <c r="N215" i="1"/>
  <c r="S215" i="1"/>
  <c r="AH542" i="1"/>
  <c r="AN542" i="1"/>
  <c r="AO542" i="1" s="1"/>
  <c r="N283" i="1"/>
  <c r="S283" i="1"/>
  <c r="AF584" i="1"/>
  <c r="N413" i="1"/>
  <c r="S413" i="1"/>
  <c r="AN546" i="1"/>
  <c r="AO546" i="1" s="1"/>
  <c r="AH546" i="1"/>
  <c r="AH543" i="1"/>
  <c r="AN543" i="1"/>
  <c r="S59" i="1"/>
  <c r="N59" i="1"/>
  <c r="N71" i="1"/>
  <c r="S71" i="1"/>
  <c r="N213" i="1"/>
  <c r="S213" i="1"/>
  <c r="AF524" i="1"/>
  <c r="M384" i="1"/>
  <c r="K384" i="1"/>
  <c r="R384" i="1"/>
  <c r="N114" i="1"/>
  <c r="S114" i="1"/>
  <c r="N336" i="1"/>
  <c r="S336" i="1"/>
  <c r="S116" i="1"/>
  <c r="N116" i="1"/>
  <c r="S38" i="1"/>
  <c r="N38" i="1"/>
  <c r="L263" i="1"/>
  <c r="S262" i="1"/>
  <c r="N262" i="1"/>
  <c r="S190" i="1"/>
  <c r="N190" i="1"/>
  <c r="N282" i="1"/>
  <c r="S282" i="1"/>
  <c r="N373" i="1"/>
  <c r="S373" i="1"/>
  <c r="N352" i="1"/>
  <c r="S352" i="1"/>
  <c r="S139" i="1"/>
  <c r="N139" i="1"/>
  <c r="S46" i="1"/>
  <c r="N46" i="1"/>
  <c r="N103" i="1"/>
  <c r="L106" i="1"/>
  <c r="S103" i="1"/>
  <c r="S45" i="1"/>
  <c r="N45" i="1"/>
  <c r="N10" i="1"/>
  <c r="S10" i="1"/>
  <c r="AF564" i="1"/>
  <c r="S150" i="1"/>
  <c r="N150" i="1"/>
  <c r="S298" i="1"/>
  <c r="N298" i="1"/>
  <c r="N405" i="1"/>
  <c r="S405" i="1"/>
  <c r="S217" i="1"/>
  <c r="N217" i="1"/>
  <c r="N105" i="1"/>
  <c r="S105" i="1"/>
  <c r="R177" i="1"/>
  <c r="R178" i="1" s="1"/>
  <c r="M177" i="1"/>
  <c r="N128" i="1"/>
  <c r="S128" i="1"/>
  <c r="AF525" i="1"/>
  <c r="S53" i="1"/>
  <c r="N53" i="1"/>
  <c r="N274" i="1"/>
  <c r="S274" i="1"/>
  <c r="N120" i="1"/>
  <c r="S120" i="1"/>
  <c r="S191" i="1"/>
  <c r="N191" i="1"/>
  <c r="S187" i="1"/>
  <c r="N187" i="1"/>
  <c r="N421" i="1"/>
  <c r="S421" i="1"/>
  <c r="N153" i="1"/>
  <c r="S153" i="1"/>
  <c r="S398" i="1"/>
  <c r="N398" i="1"/>
  <c r="S51" i="1"/>
  <c r="N51" i="1"/>
  <c r="S186" i="1"/>
  <c r="N186" i="1"/>
  <c r="L196" i="1"/>
  <c r="S37" i="1"/>
  <c r="N37" i="1"/>
  <c r="S42" i="1"/>
  <c r="N42" i="1"/>
  <c r="N54" i="1" s="1"/>
  <c r="L54" i="1"/>
  <c r="AF503" i="1"/>
  <c r="AH579" i="1"/>
  <c r="AN579" i="1"/>
  <c r="L441" i="1"/>
  <c r="S440" i="1"/>
  <c r="N440" i="1"/>
  <c r="N441" i="1" s="1"/>
  <c r="N148" i="1"/>
  <c r="S148" i="1"/>
  <c r="S420" i="1"/>
  <c r="N420" i="1"/>
  <c r="N160" i="1"/>
  <c r="S160" i="1"/>
  <c r="N291" i="1"/>
  <c r="S291" i="1"/>
  <c r="S330" i="1"/>
  <c r="N330" i="1"/>
  <c r="L342" i="1"/>
  <c r="M175" i="1"/>
  <c r="R175" i="1"/>
  <c r="R176" i="1" s="1"/>
  <c r="J182" i="1"/>
  <c r="AF558" i="1"/>
  <c r="S118" i="1"/>
  <c r="N118" i="1"/>
  <c r="N341" i="1"/>
  <c r="S341" i="1"/>
  <c r="N409" i="1"/>
  <c r="S409" i="1"/>
  <c r="S290" i="1"/>
  <c r="N290" i="1"/>
  <c r="R8" i="1"/>
  <c r="M8" i="1"/>
  <c r="K8" i="1"/>
  <c r="N399" i="1"/>
  <c r="S399" i="1"/>
  <c r="AH533" i="1"/>
  <c r="AN533" i="1"/>
  <c r="AO533" i="1" s="1"/>
  <c r="S423" i="1"/>
  <c r="N423" i="1"/>
  <c r="S177" i="1"/>
  <c r="N177" i="1"/>
  <c r="AF511" i="1"/>
  <c r="N133" i="1"/>
  <c r="S133" i="1"/>
  <c r="AF538" i="1"/>
  <c r="AF551" i="1"/>
  <c r="AH551" i="1" s="1"/>
  <c r="N132" i="1"/>
  <c r="S132" i="1"/>
  <c r="R10" i="1"/>
  <c r="M10" i="1"/>
  <c r="K10" i="1"/>
  <c r="N61" i="1"/>
  <c r="S61" i="1"/>
  <c r="N143" i="1"/>
  <c r="S143" i="1"/>
  <c r="N60" i="1"/>
  <c r="S60" i="1"/>
  <c r="S335" i="1"/>
  <c r="N335" i="1"/>
  <c r="S124" i="1"/>
  <c r="N124" i="1"/>
  <c r="L136" i="1"/>
  <c r="N275" i="1"/>
  <c r="S275" i="1"/>
  <c r="N49" i="1"/>
  <c r="S49" i="1"/>
  <c r="AF521" i="1"/>
  <c r="AH545" i="1"/>
  <c r="AN545" i="1"/>
  <c r="AO545" i="1" s="1"/>
  <c r="R9" i="1"/>
  <c r="M9" i="1"/>
  <c r="K9" i="1"/>
  <c r="S339" i="1"/>
  <c r="N339" i="1"/>
  <c r="N206" i="1"/>
  <c r="S206" i="1"/>
  <c r="R7" i="1"/>
  <c r="M7" i="1"/>
  <c r="K7" i="1"/>
  <c r="AF517" i="1"/>
  <c r="AF508" i="1"/>
  <c r="N412" i="1"/>
  <c r="S412" i="1"/>
  <c r="L182" i="1"/>
  <c r="J187" i="1" s="1"/>
  <c r="N175" i="1"/>
  <c r="S175" i="1"/>
  <c r="S176" i="1" s="1"/>
  <c r="K95" i="1"/>
  <c r="M95" i="1"/>
  <c r="R95" i="1"/>
  <c r="J97" i="1"/>
  <c r="S47" i="1"/>
  <c r="N47" i="1"/>
  <c r="M96" i="1"/>
  <c r="K96" i="1"/>
  <c r="R96" i="1"/>
  <c r="AF527" i="1"/>
  <c r="S104" i="1"/>
  <c r="N104" i="1"/>
  <c r="S252" i="1"/>
  <c r="L253" i="1"/>
  <c r="N253" i="1" s="1"/>
  <c r="N252" i="1"/>
  <c r="S76" i="1"/>
  <c r="N76" i="1"/>
  <c r="N146" i="1"/>
  <c r="S146" i="1"/>
  <c r="N66" i="1"/>
  <c r="S66" i="1"/>
  <c r="S221" i="1"/>
  <c r="N221" i="1"/>
  <c r="N273" i="1"/>
  <c r="S273" i="1"/>
  <c r="S359" i="1"/>
  <c r="N359" i="1"/>
  <c r="S7" i="1"/>
  <c r="N7" i="1"/>
  <c r="N424" i="1"/>
  <c r="S424" i="1"/>
  <c r="N331" i="1"/>
  <c r="S331" i="1"/>
  <c r="AH578" i="1"/>
  <c r="AN578" i="1"/>
  <c r="AO578" i="1" s="1"/>
  <c r="AF582" i="1"/>
  <c r="M376" i="1"/>
  <c r="K376" i="1"/>
  <c r="R376" i="1"/>
  <c r="AH581" i="1"/>
  <c r="AN581" i="1"/>
  <c r="N375" i="1"/>
  <c r="S375" i="1"/>
  <c r="AF528" i="1"/>
  <c r="N199" i="1"/>
  <c r="S199" i="1"/>
  <c r="AH544" i="1"/>
  <c r="AN544" i="1"/>
  <c r="AO544" i="1" s="1"/>
  <c r="N39" i="1"/>
  <c r="S39" i="1"/>
  <c r="N179" i="1"/>
  <c r="S179" i="1"/>
  <c r="S180" i="1" s="1"/>
  <c r="AF515" i="1"/>
  <c r="S285" i="1"/>
  <c r="N285" i="1"/>
  <c r="L303" i="1"/>
  <c r="N140" i="1"/>
  <c r="S140" i="1"/>
  <c r="S372" i="1"/>
  <c r="N372" i="1"/>
  <c r="S278" i="1"/>
  <c r="N278" i="1"/>
  <c r="S122" i="1"/>
  <c r="N122" i="1"/>
  <c r="N144" i="1"/>
  <c r="S144" i="1"/>
  <c r="S68" i="1"/>
  <c r="N68" i="1"/>
  <c r="N72" i="1" s="1"/>
  <c r="AF502" i="1"/>
  <c r="N214" i="1"/>
  <c r="S214" i="1"/>
  <c r="L380" i="1"/>
  <c r="S371" i="1"/>
  <c r="N371" i="1"/>
  <c r="N296" i="1"/>
  <c r="S296" i="1"/>
  <c r="S6" i="1"/>
  <c r="N6" i="1"/>
  <c r="N13" i="1" s="1"/>
  <c r="L13" i="1"/>
  <c r="N443" i="1"/>
  <c r="N444" i="1" s="1"/>
  <c r="S443" i="1"/>
  <c r="L444" i="1"/>
  <c r="AF497" i="1"/>
  <c r="S142" i="1"/>
  <c r="N142" i="1"/>
  <c r="AN548" i="1"/>
  <c r="AO548" i="1" s="1"/>
  <c r="AH548" i="1"/>
  <c r="N147" i="1"/>
  <c r="S147" i="1"/>
  <c r="N17" i="1"/>
  <c r="S17" i="1"/>
  <c r="N43" i="1"/>
  <c r="S43" i="1"/>
  <c r="AF519" i="1"/>
  <c r="AH519" i="1" s="1"/>
  <c r="AF505" i="1"/>
  <c r="N201" i="1"/>
  <c r="S201" i="1"/>
  <c r="N80" i="1"/>
  <c r="S80" i="1"/>
  <c r="J113" i="1"/>
  <c r="N113" i="1"/>
  <c r="L123" i="1"/>
  <c r="S113" i="1"/>
  <c r="N35" i="1"/>
  <c r="S35" i="1"/>
  <c r="N394" i="1"/>
  <c r="S394" i="1"/>
  <c r="L406" i="1"/>
  <c r="N12" i="1"/>
  <c r="S12" i="1"/>
  <c r="S52" i="1"/>
  <c r="N52" i="1"/>
  <c r="N383" i="1"/>
  <c r="S383" i="1"/>
  <c r="S11" i="1"/>
  <c r="N11" i="1"/>
  <c r="R17" i="1"/>
  <c r="M17" i="1"/>
  <c r="K17" i="1"/>
  <c r="N414" i="1"/>
  <c r="S414" i="1"/>
  <c r="S295" i="1"/>
  <c r="N295" i="1"/>
  <c r="N249" i="1"/>
  <c r="L250" i="1"/>
  <c r="S249" i="1"/>
  <c r="S189" i="1"/>
  <c r="N189" i="1"/>
  <c r="S344" i="1"/>
  <c r="N344" i="1"/>
  <c r="N332" i="1"/>
  <c r="S332" i="1"/>
  <c r="S152" i="1"/>
  <c r="N152" i="1"/>
  <c r="N292" i="1"/>
  <c r="S292" i="1"/>
  <c r="N294" i="1"/>
  <c r="S294" i="1"/>
  <c r="N407" i="1"/>
  <c r="N425" i="1" s="1"/>
  <c r="S407" i="1"/>
  <c r="L425" i="1"/>
  <c r="K425" i="1" s="1"/>
  <c r="N67" i="1"/>
  <c r="S67" i="1"/>
  <c r="S192" i="1"/>
  <c r="N192" i="1"/>
  <c r="N135" i="1"/>
  <c r="S135" i="1"/>
  <c r="AF567" i="1"/>
  <c r="S141" i="1"/>
  <c r="N141" i="1"/>
  <c r="S302" i="1"/>
  <c r="N302" i="1"/>
  <c r="S404" i="1"/>
  <c r="N404" i="1"/>
  <c r="AF509" i="1"/>
  <c r="N397" i="1"/>
  <c r="S397" i="1"/>
  <c r="AF566" i="1"/>
  <c r="N36" i="1"/>
  <c r="S36" i="1"/>
  <c r="AF500" i="1"/>
  <c r="S358" i="1"/>
  <c r="N358" i="1"/>
  <c r="S48" i="1"/>
  <c r="N48" i="1"/>
  <c r="AF518" i="1"/>
  <c r="S351" i="1"/>
  <c r="N351" i="1"/>
  <c r="S353" i="1"/>
  <c r="N353" i="1"/>
  <c r="AF504" i="1"/>
  <c r="N151" i="1"/>
  <c r="S151" i="1"/>
  <c r="K448" i="1"/>
  <c r="M437" i="1"/>
  <c r="K94" i="1"/>
  <c r="M94" i="1"/>
  <c r="R94" i="1"/>
  <c r="N403" i="1"/>
  <c r="S403" i="1"/>
  <c r="S9" i="1"/>
  <c r="N9" i="1"/>
  <c r="S57" i="1"/>
  <c r="N57" i="1"/>
  <c r="S21" i="1"/>
  <c r="N21" i="1"/>
  <c r="L24" i="1"/>
  <c r="R179" i="1"/>
  <c r="R180" i="1" s="1"/>
  <c r="M179" i="1"/>
  <c r="S299" i="1"/>
  <c r="N299" i="1"/>
  <c r="AF534" i="1"/>
  <c r="S279" i="1"/>
  <c r="N279" i="1"/>
  <c r="N62" i="1"/>
  <c r="S62" i="1"/>
  <c r="N338" i="1"/>
  <c r="S338" i="1"/>
  <c r="N127" i="1"/>
  <c r="S127" i="1"/>
  <c r="AF522" i="1"/>
  <c r="N216" i="1"/>
  <c r="S216" i="1"/>
  <c r="S354" i="1"/>
  <c r="N354" i="1"/>
  <c r="S115" i="1"/>
  <c r="N115" i="1"/>
  <c r="R6" i="1"/>
  <c r="M6" i="1"/>
  <c r="M13" i="1" s="1"/>
  <c r="K6" i="1"/>
  <c r="J13" i="1"/>
  <c r="J24" i="1" s="1"/>
  <c r="K33" i="1" s="1"/>
  <c r="N288" i="1"/>
  <c r="S288" i="1"/>
  <c r="L464" i="1"/>
  <c r="S452" i="1"/>
  <c r="N318" i="1"/>
  <c r="N319" i="1" s="1"/>
  <c r="L319" i="1"/>
  <c r="S318" i="1"/>
  <c r="S319" i="1" s="1"/>
  <c r="N360" i="1"/>
  <c r="S360" i="1"/>
  <c r="N349" i="1"/>
  <c r="S349" i="1"/>
  <c r="S223" i="1"/>
  <c r="N223" i="1"/>
  <c r="AF514" i="1"/>
  <c r="S333" i="1"/>
  <c r="N333" i="1"/>
  <c r="N272" i="1"/>
  <c r="S272" i="1"/>
  <c r="L284" i="1"/>
  <c r="AF536" i="1"/>
  <c r="S376" i="1"/>
  <c r="N376" i="1"/>
  <c r="M12" i="1"/>
  <c r="R12" i="1"/>
  <c r="K12" i="1"/>
  <c r="N377" i="1"/>
  <c r="S377" i="1"/>
  <c r="N347" i="1"/>
  <c r="S347" i="1"/>
  <c r="S158" i="1"/>
  <c r="N158" i="1"/>
  <c r="L164" i="1"/>
  <c r="S205" i="1"/>
  <c r="N205" i="1"/>
  <c r="K248" i="1"/>
  <c r="M246" i="1"/>
  <c r="M318" i="1"/>
  <c r="K326" i="1"/>
  <c r="N79" i="1"/>
  <c r="S79" i="1"/>
  <c r="AF523" i="1"/>
  <c r="S15" i="1"/>
  <c r="N15" i="1"/>
  <c r="S188" i="1"/>
  <c r="N188" i="1"/>
  <c r="S289" i="1"/>
  <c r="N289" i="1"/>
  <c r="N346" i="1"/>
  <c r="S346" i="1"/>
  <c r="N96" i="1"/>
  <c r="S96" i="1"/>
  <c r="S65" i="1"/>
  <c r="N65" i="1"/>
  <c r="N200" i="1"/>
  <c r="S200" i="1"/>
  <c r="AH541" i="1"/>
  <c r="AN541" i="1"/>
  <c r="AO541" i="1" s="1"/>
  <c r="AF529" i="1"/>
  <c r="N44" i="1"/>
  <c r="S44" i="1"/>
  <c r="AF499" i="1"/>
  <c r="AN556" i="1"/>
  <c r="AO556" i="1" s="1"/>
  <c r="AH556" i="1"/>
  <c r="AI556" i="1" s="1"/>
  <c r="N8" i="1"/>
  <c r="S8" i="1"/>
  <c r="N411" i="1"/>
  <c r="S411" i="1"/>
  <c r="N161" i="1"/>
  <c r="S161" i="1"/>
  <c r="AH526" i="1"/>
  <c r="AN526" i="1"/>
  <c r="AO526" i="1" s="1"/>
  <c r="S129" i="1"/>
  <c r="N129" i="1"/>
  <c r="N31" i="1"/>
  <c r="S31" i="1"/>
  <c r="L41" i="1"/>
  <c r="N149" i="1"/>
  <c r="S149" i="1"/>
  <c r="N348" i="1"/>
  <c r="S348" i="1"/>
  <c r="R15" i="1"/>
  <c r="M15" i="1"/>
  <c r="K15" i="1"/>
  <c r="AF512" i="1"/>
  <c r="S334" i="1"/>
  <c r="N334" i="1"/>
  <c r="N384" i="1"/>
  <c r="S384" i="1"/>
  <c r="S63" i="1"/>
  <c r="N63" i="1"/>
  <c r="AF501" i="1"/>
  <c r="AH540" i="1"/>
  <c r="AH553" i="1" s="1"/>
  <c r="AN540" i="1"/>
  <c r="N203" i="1"/>
  <c r="S203" i="1"/>
  <c r="S222" i="1"/>
  <c r="N222" i="1"/>
  <c r="N419" i="1"/>
  <c r="S419" i="1"/>
  <c r="M375" i="1"/>
  <c r="R375" i="1"/>
  <c r="K375" i="1"/>
  <c r="N374" i="1"/>
  <c r="S374" i="1"/>
  <c r="S281" i="1"/>
  <c r="N281" i="1"/>
  <c r="AF562" i="1"/>
  <c r="N23" i="1"/>
  <c r="S23" i="1"/>
  <c r="S32" i="1"/>
  <c r="N32" i="1"/>
  <c r="J32" i="1"/>
  <c r="L97" i="1"/>
  <c r="N94" i="1"/>
  <c r="S94" i="1"/>
  <c r="S81" i="1"/>
  <c r="N81" i="1"/>
  <c r="N396" i="1"/>
  <c r="S396" i="1"/>
  <c r="S131" i="1"/>
  <c r="N131" i="1"/>
  <c r="M101" i="1"/>
  <c r="R101" i="1"/>
  <c r="K101" i="1"/>
  <c r="N293" i="1"/>
  <c r="S293" i="1"/>
  <c r="AF532" i="1"/>
  <c r="S410" i="1"/>
  <c r="N410" i="1"/>
  <c r="N218" i="1"/>
  <c r="S218" i="1"/>
  <c r="S207" i="1"/>
  <c r="N207" i="1"/>
  <c r="AF510" i="1"/>
  <c r="S137" i="1"/>
  <c r="N137" i="1"/>
  <c r="L154" i="1"/>
  <c r="N356" i="1"/>
  <c r="S356" i="1"/>
  <c r="N77" i="1"/>
  <c r="S77" i="1"/>
  <c r="S64" i="1"/>
  <c r="N64" i="1"/>
  <c r="S408" i="1"/>
  <c r="N408" i="1"/>
  <c r="N50" i="1"/>
  <c r="S50" i="1"/>
  <c r="S134" i="1"/>
  <c r="N134" i="1"/>
  <c r="N301" i="1"/>
  <c r="S301" i="1"/>
  <c r="N340" i="1"/>
  <c r="S340" i="1"/>
  <c r="N277" i="1"/>
  <c r="S277" i="1"/>
  <c r="L247" i="1"/>
  <c r="N246" i="1"/>
  <c r="S246" i="1"/>
  <c r="L259" i="1"/>
  <c r="AF537" i="1"/>
  <c r="AF530" i="1"/>
  <c r="R374" i="1"/>
  <c r="M374" i="1"/>
  <c r="K374" i="1"/>
  <c r="R373" i="1"/>
  <c r="M373" i="1"/>
  <c r="K373" i="1"/>
  <c r="S321" i="1"/>
  <c r="N321" i="1"/>
  <c r="N322" i="1" s="1"/>
  <c r="L322" i="1"/>
  <c r="S75" i="1"/>
  <c r="N75" i="1"/>
  <c r="L83" i="1"/>
  <c r="S121" i="1"/>
  <c r="N121" i="1"/>
  <c r="N422" i="1"/>
  <c r="S422" i="1"/>
  <c r="N297" i="1"/>
  <c r="S297" i="1"/>
  <c r="N286" i="1"/>
  <c r="S286" i="1"/>
  <c r="N219" i="1"/>
  <c r="S219" i="1"/>
  <c r="N395" i="1"/>
  <c r="S395" i="1"/>
  <c r="N202" i="1"/>
  <c r="S202" i="1"/>
  <c r="N204" i="1"/>
  <c r="S204" i="1"/>
  <c r="S117" i="1"/>
  <c r="N117" i="1"/>
  <c r="S99" i="1"/>
  <c r="N99" i="1"/>
  <c r="N400" i="1"/>
  <c r="S400" i="1"/>
  <c r="N56" i="1"/>
  <c r="S56" i="1"/>
  <c r="S34" i="1"/>
  <c r="N34" i="1"/>
  <c r="N33" i="1"/>
  <c r="S33" i="1"/>
  <c r="S159" i="1"/>
  <c r="N159" i="1"/>
  <c r="N345" i="1"/>
  <c r="S345" i="1"/>
  <c r="AF563" i="1"/>
  <c r="AF516" i="1"/>
  <c r="AN535" i="1"/>
  <c r="AO535" i="1" s="1"/>
  <c r="AH535" i="1"/>
  <c r="S78" i="1"/>
  <c r="N78" i="1"/>
  <c r="AN583" i="1"/>
  <c r="AH583" i="1"/>
  <c r="S378" i="1"/>
  <c r="N378" i="1"/>
  <c r="K259" i="1"/>
  <c r="M249" i="1"/>
  <c r="N355" i="1"/>
  <c r="S355" i="1"/>
  <c r="AF496" i="1"/>
  <c r="AF559" i="1"/>
  <c r="AN507" i="1"/>
  <c r="AO507" i="1" s="1"/>
  <c r="AH507" i="1"/>
  <c r="N119" i="1"/>
  <c r="S119" i="1"/>
  <c r="AF552" i="1"/>
  <c r="AH552" i="1" s="1"/>
  <c r="S379" i="1"/>
  <c r="N379" i="1"/>
  <c r="S465" i="1"/>
  <c r="S482" i="1" s="1"/>
  <c r="L482" i="1"/>
  <c r="K482" i="1" s="1"/>
  <c r="S417" i="1"/>
  <c r="N417" i="1"/>
  <c r="N126" i="1"/>
  <c r="S126" i="1"/>
  <c r="N415" i="1"/>
  <c r="S415" i="1"/>
  <c r="N350" i="1"/>
  <c r="S350" i="1"/>
  <c r="N337" i="1"/>
  <c r="S337" i="1"/>
  <c r="L326" i="1"/>
  <c r="S315" i="1"/>
  <c r="S316" i="1" s="1"/>
  <c r="L316" i="1"/>
  <c r="N315" i="1"/>
  <c r="N316" i="1" s="1"/>
  <c r="N162" i="1"/>
  <c r="S162" i="1"/>
  <c r="S212" i="1"/>
  <c r="N212" i="1"/>
  <c r="L227" i="1"/>
  <c r="S418" i="1"/>
  <c r="N418" i="1"/>
  <c r="M383" i="1"/>
  <c r="R383" i="1"/>
  <c r="K383" i="1"/>
  <c r="N22" i="1"/>
  <c r="S22" i="1"/>
  <c r="N402" i="1"/>
  <c r="S402" i="1"/>
  <c r="S197" i="1"/>
  <c r="N197" i="1"/>
  <c r="L209" i="1"/>
  <c r="N220" i="1"/>
  <c r="S220" i="1"/>
  <c r="N416" i="1"/>
  <c r="S416" i="1"/>
  <c r="AF560" i="1"/>
  <c r="AN547" i="1"/>
  <c r="AO547" i="1" s="1"/>
  <c r="AH547" i="1"/>
  <c r="S138" i="1"/>
  <c r="N138" i="1"/>
  <c r="N343" i="1"/>
  <c r="N361" i="1" s="1"/>
  <c r="S343" i="1"/>
  <c r="L361" i="1"/>
  <c r="S401" i="1"/>
  <c r="N401" i="1"/>
  <c r="AF498" i="1"/>
  <c r="M13" i="2"/>
  <c r="M10" i="2" s="1"/>
  <c r="AF531" i="1"/>
  <c r="N70" i="1"/>
  <c r="S70" i="1"/>
  <c r="L256" i="1"/>
  <c r="N255" i="1"/>
  <c r="S255" i="1"/>
  <c r="K103" i="1" l="1"/>
  <c r="R103" i="1" s="1"/>
  <c r="K104" i="1"/>
  <c r="R104" i="1" s="1"/>
  <c r="J106" i="1"/>
  <c r="K105" i="1"/>
  <c r="R105" i="1" s="1"/>
  <c r="K32" i="1"/>
  <c r="K34" i="1"/>
  <c r="AF520" i="1"/>
  <c r="AH520" i="1" s="1"/>
  <c r="AI520" i="1" s="1"/>
  <c r="AN520" i="1"/>
  <c r="AO520" i="1" s="1"/>
  <c r="AH559" i="1"/>
  <c r="AI559" i="1" s="1"/>
  <c r="AN559" i="1"/>
  <c r="AF568" i="1"/>
  <c r="AN582" i="1"/>
  <c r="AH582" i="1"/>
  <c r="S361" i="1"/>
  <c r="K361" i="1"/>
  <c r="L109" i="1"/>
  <c r="K196" i="1" s="1"/>
  <c r="N97" i="1"/>
  <c r="N98" i="1" s="1"/>
  <c r="S97" i="1"/>
  <c r="S98" i="1" s="1"/>
  <c r="AH523" i="1"/>
  <c r="AN523" i="1"/>
  <c r="AO523" i="1" s="1"/>
  <c r="R13" i="1"/>
  <c r="R14" i="1" s="1"/>
  <c r="S425" i="1"/>
  <c r="S13" i="1"/>
  <c r="S14" i="1" s="1"/>
  <c r="AN538" i="1"/>
  <c r="AH538" i="1"/>
  <c r="J114" i="1"/>
  <c r="N106" i="1"/>
  <c r="N107" i="1" s="1"/>
  <c r="S106" i="1"/>
  <c r="S107" i="1" s="1"/>
  <c r="N326" i="1"/>
  <c r="N327" i="1" s="1"/>
  <c r="S326" i="1"/>
  <c r="S327" i="1" s="1"/>
  <c r="AF506" i="1"/>
  <c r="AH496" i="1"/>
  <c r="AE496" i="1"/>
  <c r="AN496" i="1"/>
  <c r="AO496" i="1" s="1"/>
  <c r="AH537" i="1"/>
  <c r="AN537" i="1"/>
  <c r="AN514" i="1"/>
  <c r="AH514" i="1"/>
  <c r="AH515" i="1"/>
  <c r="AN515" i="1"/>
  <c r="AO515" i="1" s="1"/>
  <c r="AH528" i="1"/>
  <c r="AN528" i="1"/>
  <c r="AO528" i="1" s="1"/>
  <c r="J186" i="1"/>
  <c r="AH531" i="1"/>
  <c r="AN531" i="1"/>
  <c r="AO531" i="1" s="1"/>
  <c r="K123" i="1"/>
  <c r="N123" i="1"/>
  <c r="L156" i="1"/>
  <c r="S123" i="1"/>
  <c r="N182" i="1"/>
  <c r="S182" i="1"/>
  <c r="S183" i="1" s="1"/>
  <c r="AN584" i="1"/>
  <c r="AH584" i="1"/>
  <c r="AE584" i="1"/>
  <c r="S209" i="1"/>
  <c r="N209" i="1"/>
  <c r="AF553" i="1"/>
  <c r="K31" i="1"/>
  <c r="S164" i="1"/>
  <c r="N24" i="1"/>
  <c r="N25" i="1" s="1"/>
  <c r="S24" i="1"/>
  <c r="S25" i="1" s="1"/>
  <c r="AH497" i="1"/>
  <c r="AE497" i="1"/>
  <c r="AN497" i="1"/>
  <c r="AO497" i="1" s="1"/>
  <c r="AN558" i="1"/>
  <c r="AO558" i="1" s="1"/>
  <c r="AH558" i="1"/>
  <c r="AI558" i="1" s="1"/>
  <c r="AH503" i="1"/>
  <c r="AN503" i="1"/>
  <c r="AO503" i="1" s="1"/>
  <c r="AE503" i="1"/>
  <c r="AN566" i="1"/>
  <c r="AH566" i="1"/>
  <c r="AI566" i="1" s="1"/>
  <c r="L229" i="1"/>
  <c r="N196" i="1"/>
  <c r="S196" i="1"/>
  <c r="AN553" i="1"/>
  <c r="AO553" i="1" s="1"/>
  <c r="AO540" i="1"/>
  <c r="AH512" i="1"/>
  <c r="AN512" i="1"/>
  <c r="S41" i="1"/>
  <c r="N41" i="1"/>
  <c r="L74" i="1"/>
  <c r="AH529" i="1"/>
  <c r="AN529" i="1"/>
  <c r="K284" i="1"/>
  <c r="S284" i="1"/>
  <c r="N284" i="1"/>
  <c r="L305" i="1"/>
  <c r="S72" i="1"/>
  <c r="AH508" i="1"/>
  <c r="AN508" i="1"/>
  <c r="AO508" i="1" s="1"/>
  <c r="N438" i="1"/>
  <c r="N83" i="1"/>
  <c r="AH536" i="1"/>
  <c r="AN536" i="1"/>
  <c r="AH498" i="1"/>
  <c r="AE498" i="1"/>
  <c r="AN498" i="1"/>
  <c r="AO498" i="1" s="1"/>
  <c r="M9" i="2"/>
  <c r="M8" i="2" s="1"/>
  <c r="L268" i="1"/>
  <c r="N259" i="1"/>
  <c r="N260" i="1" s="1"/>
  <c r="S259" i="1"/>
  <c r="L260" i="1"/>
  <c r="K406" i="1"/>
  <c r="L427" i="1"/>
  <c r="S406" i="1"/>
  <c r="N406" i="1"/>
  <c r="K136" i="1"/>
  <c r="N136" i="1"/>
  <c r="S136" i="1"/>
  <c r="AH511" i="1"/>
  <c r="AN511" i="1"/>
  <c r="L449" i="1"/>
  <c r="S448" i="1"/>
  <c r="S449" i="1" s="1"/>
  <c r="K380" i="1"/>
  <c r="J385" i="1"/>
  <c r="R380" i="1"/>
  <c r="M380" i="1"/>
  <c r="AN557" i="1"/>
  <c r="AH557" i="1"/>
  <c r="S83" i="1"/>
  <c r="AN513" i="1"/>
  <c r="AH513" i="1"/>
  <c r="AH501" i="1"/>
  <c r="AE501" i="1"/>
  <c r="AN501" i="1"/>
  <c r="AO501" i="1" s="1"/>
  <c r="K464" i="1"/>
  <c r="S464" i="1"/>
  <c r="L484" i="1"/>
  <c r="AH516" i="1"/>
  <c r="AN516" i="1"/>
  <c r="AO516" i="1" s="1"/>
  <c r="N154" i="1"/>
  <c r="S154" i="1"/>
  <c r="K154" i="1"/>
  <c r="AH532" i="1"/>
  <c r="AN532" i="1"/>
  <c r="AO532" i="1" s="1"/>
  <c r="AN562" i="1"/>
  <c r="AH562" i="1"/>
  <c r="AI562" i="1" s="1"/>
  <c r="K24" i="1"/>
  <c r="M24" i="1"/>
  <c r="AH522" i="1"/>
  <c r="AN522" i="1"/>
  <c r="AO522" i="1" s="1"/>
  <c r="AH534" i="1"/>
  <c r="AN534" i="1"/>
  <c r="AO534" i="1" s="1"/>
  <c r="AH518" i="1"/>
  <c r="AN518" i="1"/>
  <c r="AO518" i="1" s="1"/>
  <c r="AH567" i="1"/>
  <c r="AI567" i="1" s="1"/>
  <c r="AN567" i="1"/>
  <c r="L385" i="1"/>
  <c r="S380" i="1"/>
  <c r="S381" i="1" s="1"/>
  <c r="N380" i="1"/>
  <c r="N381" i="1" s="1"/>
  <c r="K39" i="1"/>
  <c r="P189" i="1"/>
  <c r="P187" i="1"/>
  <c r="K120" i="1"/>
  <c r="K191" i="1"/>
  <c r="P122" i="1"/>
  <c r="K118" i="1"/>
  <c r="P192" i="1"/>
  <c r="E192" i="1"/>
  <c r="K113" i="1"/>
  <c r="P113" i="1"/>
  <c r="P120" i="1"/>
  <c r="K116" i="1"/>
  <c r="E189" i="1"/>
  <c r="P194" i="1"/>
  <c r="P195" i="1"/>
  <c r="P193" i="1"/>
  <c r="P191" i="1"/>
  <c r="J109" i="1"/>
  <c r="P114" i="1"/>
  <c r="K187" i="1"/>
  <c r="P188" i="1"/>
  <c r="K114" i="1"/>
  <c r="R97" i="1"/>
  <c r="R98" i="1" s="1"/>
  <c r="K97" i="1"/>
  <c r="E187" i="1"/>
  <c r="E190" i="1"/>
  <c r="E191" i="1"/>
  <c r="P118" i="1"/>
  <c r="K121" i="1"/>
  <c r="P117" i="1"/>
  <c r="K195" i="1"/>
  <c r="P190" i="1"/>
  <c r="K115" i="1"/>
  <c r="P121" i="1"/>
  <c r="K117" i="1"/>
  <c r="K194" i="1"/>
  <c r="K193" i="1"/>
  <c r="P115" i="1"/>
  <c r="K186" i="1"/>
  <c r="M97" i="1"/>
  <c r="M98" i="1" s="1"/>
  <c r="E186" i="1"/>
  <c r="K188" i="1"/>
  <c r="K189" i="1"/>
  <c r="P116" i="1"/>
  <c r="P119" i="1"/>
  <c r="K192" i="1"/>
  <c r="K122" i="1"/>
  <c r="E188" i="1"/>
  <c r="K190" i="1"/>
  <c r="K119" i="1"/>
  <c r="P186" i="1"/>
  <c r="AH517" i="1"/>
  <c r="AN517" i="1"/>
  <c r="AO517" i="1" s="1"/>
  <c r="AH525" i="1"/>
  <c r="AN525" i="1"/>
  <c r="AO525" i="1" s="1"/>
  <c r="AN560" i="1"/>
  <c r="AH560" i="1"/>
  <c r="AI560" i="1" s="1"/>
  <c r="AE505" i="1"/>
  <c r="AN505" i="1"/>
  <c r="AH505" i="1"/>
  <c r="K38" i="1"/>
  <c r="AH524" i="1"/>
  <c r="AN524" i="1"/>
  <c r="AO524" i="1" s="1"/>
  <c r="S227" i="1"/>
  <c r="N227" i="1"/>
  <c r="K227" i="1"/>
  <c r="AH509" i="1"/>
  <c r="AN509" i="1"/>
  <c r="AO509" i="1" s="1"/>
  <c r="AH499" i="1"/>
  <c r="AE499" i="1"/>
  <c r="AN499" i="1"/>
  <c r="AO499" i="1" s="1"/>
  <c r="AE500" i="1"/>
  <c r="J27" i="1"/>
  <c r="K22" i="1"/>
  <c r="R22" i="1" s="1"/>
  <c r="K23" i="1"/>
  <c r="R23" i="1" s="1"/>
  <c r="K21" i="1"/>
  <c r="R21" i="1" s="1"/>
  <c r="K13" i="1"/>
  <c r="K35" i="1"/>
  <c r="S342" i="1"/>
  <c r="L363" i="1"/>
  <c r="N342" i="1"/>
  <c r="S54" i="1"/>
  <c r="AH500" i="1"/>
  <c r="AN500" i="1"/>
  <c r="K182" i="1"/>
  <c r="M182" i="1"/>
  <c r="R182" i="1"/>
  <c r="R183" i="1" s="1"/>
  <c r="K268" i="1"/>
  <c r="M259" i="1"/>
  <c r="AH563" i="1"/>
  <c r="AI563" i="1" s="1"/>
  <c r="AN563" i="1"/>
  <c r="AH510" i="1"/>
  <c r="AN510" i="1"/>
  <c r="AO510" i="1" s="1"/>
  <c r="K36" i="1"/>
  <c r="J31" i="1"/>
  <c r="L27" i="1"/>
  <c r="K54" i="1" s="1"/>
  <c r="K303" i="1"/>
  <c r="N303" i="1"/>
  <c r="S303" i="1"/>
  <c r="AF539" i="1"/>
  <c r="AH521" i="1"/>
  <c r="AH539" i="1" s="1"/>
  <c r="AI539" i="1" s="1"/>
  <c r="AN521" i="1"/>
  <c r="K37" i="1"/>
  <c r="AH530" i="1"/>
  <c r="AN530" i="1"/>
  <c r="AO530" i="1" s="1"/>
  <c r="AH504" i="1"/>
  <c r="AN504" i="1"/>
  <c r="AO504" i="1" s="1"/>
  <c r="AE504" i="1"/>
  <c r="AH502" i="1"/>
  <c r="AE502" i="1"/>
  <c r="AN502" i="1"/>
  <c r="AO502" i="1" s="1"/>
  <c r="AH527" i="1"/>
  <c r="AN527" i="1"/>
  <c r="AH564" i="1"/>
  <c r="AI564" i="1" s="1"/>
  <c r="AN564" i="1"/>
  <c r="AH565" i="1"/>
  <c r="AI565" i="1" s="1"/>
  <c r="AN565" i="1"/>
  <c r="K106" i="1" l="1"/>
  <c r="M106" i="1"/>
  <c r="R106" i="1"/>
  <c r="K209" i="1"/>
  <c r="K72" i="1"/>
  <c r="AM499" i="1"/>
  <c r="AG499" i="1"/>
  <c r="R109" i="1"/>
  <c r="R110" i="1" s="1"/>
  <c r="K109" i="1"/>
  <c r="M109" i="1"/>
  <c r="M110" i="1" s="1"/>
  <c r="L365" i="1"/>
  <c r="K363" i="1"/>
  <c r="N363" i="1"/>
  <c r="S363" i="1"/>
  <c r="N156" i="1"/>
  <c r="S156" i="1"/>
  <c r="K156" i="1"/>
  <c r="AM505" i="1"/>
  <c r="AG505" i="1"/>
  <c r="N385" i="1"/>
  <c r="N386" i="1" s="1"/>
  <c r="S385" i="1"/>
  <c r="S386" i="1" s="1"/>
  <c r="L390" i="1"/>
  <c r="AF494" i="1" s="1"/>
  <c r="N74" i="1"/>
  <c r="S74" i="1"/>
  <c r="K74" i="1"/>
  <c r="N27" i="1"/>
  <c r="S27" i="1"/>
  <c r="S28" i="1" s="1"/>
  <c r="L85" i="1"/>
  <c r="L269" i="1"/>
  <c r="N268" i="1"/>
  <c r="N269" i="1" s="1"/>
  <c r="S268" i="1"/>
  <c r="S269" i="1" s="1"/>
  <c r="K41" i="1"/>
  <c r="L486" i="1"/>
  <c r="S486" i="1" s="1"/>
  <c r="S484" i="1"/>
  <c r="K484" i="1"/>
  <c r="AM497" i="1"/>
  <c r="AG497" i="1"/>
  <c r="AH568" i="1"/>
  <c r="AI568" i="1" s="1"/>
  <c r="AN568" i="1"/>
  <c r="AO568" i="1" s="1"/>
  <c r="K385" i="1"/>
  <c r="M385" i="1"/>
  <c r="J390" i="1"/>
  <c r="AF493" i="1" s="1"/>
  <c r="R385" i="1"/>
  <c r="L239" i="1"/>
  <c r="S229" i="1"/>
  <c r="N229" i="1"/>
  <c r="K229" i="1"/>
  <c r="S109" i="1"/>
  <c r="S110" i="1" s="1"/>
  <c r="N109" i="1"/>
  <c r="N110" i="1" s="1"/>
  <c r="L166" i="1"/>
  <c r="R27" i="1"/>
  <c r="R28" i="1" s="1"/>
  <c r="K27" i="1"/>
  <c r="M27" i="1"/>
  <c r="M28" i="1" s="1"/>
  <c r="AM498" i="1"/>
  <c r="AG498" i="1"/>
  <c r="AG496" i="1"/>
  <c r="AM496" i="1"/>
  <c r="AO521" i="1"/>
  <c r="AN539" i="1"/>
  <c r="AO539" i="1" s="1"/>
  <c r="AM500" i="1"/>
  <c r="AG500" i="1"/>
  <c r="K427" i="1"/>
  <c r="N427" i="1"/>
  <c r="S427" i="1"/>
  <c r="AG504" i="1"/>
  <c r="AM504" i="1"/>
  <c r="AM502" i="1"/>
  <c r="AG502" i="1"/>
  <c r="AG501" i="1"/>
  <c r="AM501" i="1"/>
  <c r="L307" i="1"/>
  <c r="N305" i="1"/>
  <c r="S305" i="1"/>
  <c r="K305" i="1"/>
  <c r="AF555" i="1"/>
  <c r="AH506" i="1"/>
  <c r="AI506" i="1" s="1"/>
  <c r="AN506" i="1"/>
  <c r="AO506" i="1" s="1"/>
  <c r="AM503" i="1"/>
  <c r="AG503" i="1"/>
  <c r="AN494" i="1" l="1"/>
  <c r="AO494" i="1" s="1"/>
  <c r="AD494" i="1"/>
  <c r="AH494" i="1"/>
  <c r="AI494" i="1" s="1"/>
  <c r="AF570" i="1"/>
  <c r="AD520" i="1"/>
  <c r="AD506" i="1"/>
  <c r="AD568" i="1"/>
  <c r="AD539" i="1"/>
  <c r="AD553" i="1"/>
  <c r="AH555" i="1"/>
  <c r="AI555" i="1" s="1"/>
  <c r="AD555" i="1"/>
  <c r="AN555" i="1"/>
  <c r="AO555" i="1" s="1"/>
  <c r="N28" i="1"/>
  <c r="N85" i="1"/>
  <c r="N166" i="1"/>
  <c r="S166" i="1"/>
  <c r="S85" i="1"/>
  <c r="N365" i="1"/>
  <c r="S365" i="1"/>
  <c r="S390" i="1"/>
  <c r="S391" i="1" s="1"/>
  <c r="L429" i="1"/>
  <c r="N390" i="1"/>
  <c r="N391" i="1" s="1"/>
  <c r="N307" i="1"/>
  <c r="S307" i="1"/>
  <c r="R268" i="1"/>
  <c r="M268" i="1"/>
  <c r="N239" i="1"/>
  <c r="S239" i="1"/>
  <c r="K390" i="1"/>
  <c r="M390" i="1"/>
  <c r="R390" i="1"/>
  <c r="S429" i="1" l="1"/>
  <c r="N429" i="1"/>
  <c r="AF576" i="1"/>
  <c r="AH570" i="1"/>
  <c r="AI570" i="1" s="1"/>
  <c r="AE570" i="1"/>
  <c r="AN570" i="1"/>
  <c r="AO570" i="1" s="1"/>
  <c r="AF585" i="1" l="1"/>
  <c r="AF588" i="1" s="1"/>
  <c r="AF575" i="1"/>
  <c r="AN576" i="1"/>
  <c r="AO576" i="1" s="1"/>
  <c r="AH576" i="1"/>
  <c r="AI576" i="1" s="1"/>
  <c r="AE576" i="1"/>
  <c r="AH575" i="1" l="1"/>
  <c r="AI575" i="1" s="1"/>
  <c r="AE575" i="1"/>
  <c r="AN575" i="1"/>
  <c r="AO575" i="1" s="1"/>
  <c r="AE585" i="1"/>
  <c r="AN585" i="1"/>
  <c r="AO585" i="1" s="1"/>
  <c r="AH585" i="1"/>
  <c r="AI58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46" authorId="0" shapeId="0" xr:uid="{6E1BD4CA-836E-43FF-A9D3-5E71089B16E9}">
      <text>
        <r>
          <rPr>
            <sz val="11"/>
            <color theme="1"/>
            <rFont val="Calibri"/>
            <family val="2"/>
            <scheme val="minor"/>
          </rPr>
          <t>======
ID#AAACIzIMcgg
Maxime Allard    (2026-10-15 11:49:25)
Hawks a generer 230 WO 60K de Vente a 77%</t>
        </r>
      </text>
    </comment>
  </commentList>
</comments>
</file>

<file path=xl/sharedStrings.xml><?xml version="1.0" encoding="utf-8"?>
<sst xmlns="http://schemas.openxmlformats.org/spreadsheetml/2006/main" count="6637" uniqueCount="525">
  <si>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</si>
  <si>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</si>
  <si>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</si>
  <si>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</si>
  <si>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</si>
  <si>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</si>
  <si>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</si>
  <si>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</si>
  <si>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</si>
  <si>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</si>
  <si>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</si>
  <si>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</si>
  <si>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</si>
  <si>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</si>
  <si>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</si>
  <si>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</si>
  <si>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</si>
  <si>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</si>
  <si>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</si>
  <si>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</si>
  <si>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</si>
  <si>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</si>
  <si>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</si>
  <si>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</si>
  <si>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</si>
  <si>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</si>
  <si>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</si>
  <si>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</si>
  <si>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</si>
  <si>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</si>
  <si>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</si>
  <si>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</si>
  <si>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</si>
  <si>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</si>
  <si>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</si>
  <si>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</si>
  <si>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</si>
  <si>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</si>
  <si>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</si>
  <si>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</si>
  <si>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</si>
  <si>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</si>
  <si>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</si>
  <si>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</si>
  <si>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</si>
  <si>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</si>
  <si>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</si>
  <si>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</si>
  <si>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</si>
  <si>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</si>
  <si>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</si>
  <si>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</si>
  <si>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</si>
  <si>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</si>
  <si>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</si>
  <si>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</si>
  <si>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</si>
  <si>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</si>
  <si>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</si>
  <si>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</si>
  <si>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</si>
  <si>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</si>
  <si>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</si>
  <si>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</si>
  <si>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</si>
  <si>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</si>
  <si>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</si>
  <si>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</si>
  <si>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</si>
  <si>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</si>
  <si>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</si>
  <si>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</si>
  <si>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</si>
  <si>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</si>
  <si>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</si>
  <si>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</si>
  <si>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</si>
  <si>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</si>
  <si>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</si>
  <si>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</si>
  <si>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</si>
  <si>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</si>
  <si>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</si>
  <si>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</si>
  <si>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</si>
  <si>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</si>
  <si>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</si>
  <si>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</si>
  <si>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</si>
  <si>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</si>
  <si>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</si>
  <si>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</si>
  <si>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</si>
  <si>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</si>
  <si>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</si>
  <si>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</si>
  <si>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</si>
  <si>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</si>
  <si>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</si>
  <si>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</si>
  <si>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</si>
  <si>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</si>
  <si>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</si>
  <si>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</si>
  <si>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</si>
  <si>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</si>
  <si>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</si>
  <si>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</si>
  <si>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</si>
  <si>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</si>
  <si>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</si>
  <si>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</si>
  <si>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</si>
  <si>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</si>
  <si>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</si>
  <si>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</si>
  <si>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</si>
  <si>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</si>
  <si>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</si>
  <si>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</si>
  <si>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</si>
  <si>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</si>
  <si>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</si>
  <si>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</si>
  <si>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</si>
  <si>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</si>
  <si>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</si>
  <si>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</si>
  <si>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</si>
  <si>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</si>
  <si>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</si>
  <si>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</si>
  <si>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</si>
  <si>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</si>
  <si>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</si>
  <si>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</si>
  <si>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</si>
  <si>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</si>
  <si>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</si>
  <si>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</si>
  <si>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</si>
  <si>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</si>
  <si>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</si>
  <si>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</si>
  <si>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</si>
  <si>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</si>
  <si>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</si>
  <si>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</si>
  <si>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</si>
  <si>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</si>
  <si>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</si>
  <si>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</si>
  <si>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</si>
  <si>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</si>
  <si>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</si>
  <si>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</si>
  <si>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</si>
  <si>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</si>
  <si>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</si>
  <si>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</si>
  <si>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</si>
  <si>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</si>
  <si>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</si>
  <si>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</si>
  <si>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</si>
  <si>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</si>
  <si>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</si>
  <si>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</si>
  <si>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</si>
  <si>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</si>
  <si>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</si>
  <si>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</si>
  <si>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</si>
  <si>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</si>
  <si>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</si>
  <si>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</si>
  <si>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</si>
  <si>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</si>
  <si>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</si>
  <si>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</si>
  <si>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</si>
  <si>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</si>
  <si>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</si>
  <si>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</si>
  <si>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</si>
  <si>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</si>
  <si>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</si>
  <si>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</si>
  <si>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</si>
  <si>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</si>
  <si>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</si>
  <si>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</si>
  <si>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</si>
  <si>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</si>
  <si>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</si>
  <si>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</si>
  <si>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</si>
  <si>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</si>
  <si>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</si>
  <si>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</si>
  <si>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</si>
  <si>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</si>
  <si>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</si>
  <si>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</si>
  <si>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</si>
  <si>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</si>
  <si>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</si>
  <si>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</si>
  <si>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</si>
  <si>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</si>
  <si>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</si>
  <si>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</si>
  <si>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</si>
  <si>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</si>
  <si>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</si>
  <si>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</si>
  <si>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</si>
  <si>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</si>
  <si>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Ste-Marie Auto</t>
  </si>
  <si>
    <t>Wholesale Autres</t>
  </si>
  <si>
    <t>UNITÉS</t>
  </si>
  <si>
    <t>Véhicules usagésVentes nettes</t>
  </si>
  <si>
    <t>Wholesale autres</t>
  </si>
  <si>
    <t>Véhicules usagésCertifié</t>
  </si>
  <si>
    <t>Wholesale USA</t>
  </si>
  <si>
    <t>Véhicules usagésNon Certifié</t>
  </si>
  <si>
    <t>Wholesale Canada</t>
  </si>
  <si>
    <t>Wholesale Luxueux</t>
  </si>
  <si>
    <t>Véhicules usagésTotal Dépt. Usagés</t>
  </si>
  <si>
    <t>Total Dépt. Wholesale autres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</si>
  <si>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</si>
  <si>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</si>
  <si>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</si>
  <si>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</si>
  <si>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</si>
  <si>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</si>
  <si>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</si>
  <si>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</si>
  <si>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</si>
  <si>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</si>
  <si>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</si>
  <si>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</si>
  <si>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</si>
  <si>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</si>
  <si>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</si>
  <si>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</si>
  <si>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</si>
  <si>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</si>
  <si>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</si>
  <si>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</si>
  <si>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</si>
  <si>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</si>
  <si>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</si>
  <si>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</si>
  <si>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</si>
  <si>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</si>
  <si>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</si>
  <si>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</si>
  <si>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</si>
  <si>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</si>
  <si>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</si>
  <si>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</si>
  <si>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</si>
  <si>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</si>
  <si>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</si>
  <si>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</si>
  <si>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</si>
  <si>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</si>
  <si>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</si>
  <si>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</si>
  <si>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Véhicules usagésFrais administration</t>
  </si>
  <si>
    <t>*** NE PAS EFFACER / Pour An Précédente ***</t>
  </si>
  <si>
    <t>NEUF</t>
  </si>
  <si>
    <t>USAGE</t>
  </si>
  <si>
    <t>Véhicules neufsVentes nettes</t>
  </si>
  <si>
    <t>SERVICE</t>
  </si>
  <si>
    <t>Véhicules neufsAutos détail</t>
  </si>
  <si>
    <t>CARROSSERIE</t>
  </si>
  <si>
    <t>Véhicules neufsCamions détail</t>
  </si>
  <si>
    <t>PIECES</t>
  </si>
  <si>
    <t>Véhicules neufsSprinter</t>
  </si>
  <si>
    <t>Voitures electriques</t>
  </si>
  <si>
    <t>Véhicules neufsMoto détail</t>
  </si>
  <si>
    <t>Camions electriques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</si>
  <si>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</si>
  <si>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</si>
  <si>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</si>
  <si>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</si>
  <si>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</si>
  <si>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</si>
  <si>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</si>
  <si>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</si>
  <si>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</si>
  <si>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</si>
  <si>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</si>
  <si>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</si>
  <si>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</si>
  <si>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</si>
  <si>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</si>
  <si>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</si>
  <si>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</si>
  <si>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</si>
  <si>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Crédit Intérêts Floor Plan</t>
  </si>
  <si>
    <t>Crédit Boni TD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</si>
  <si>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</si>
  <si>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</si>
  <si>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</si>
  <si>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</si>
  <si>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</si>
  <si>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</si>
  <si>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</si>
  <si>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</si>
  <si>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</si>
  <si>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</si>
  <si>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</si>
  <si>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</si>
  <si>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</si>
  <si>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</si>
  <si>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</si>
  <si>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</si>
  <si>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</si>
  <si>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</si>
  <si>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</si>
  <si>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</si>
  <si>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</si>
  <si>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</si>
  <si>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</si>
  <si>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</si>
  <si>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</si>
  <si>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</si>
  <si>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</si>
  <si>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Programme Excellence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</si>
  <si>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</si>
  <si>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</si>
  <si>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</si>
  <si>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</si>
  <si>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</si>
  <si>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</si>
  <si>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Autres Marques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</si>
  <si>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</si>
  <si>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</si>
  <si>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</si>
  <si>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</si>
  <si>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</si>
  <si>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</si>
  <si>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</si>
  <si>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</si>
  <si>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</si>
  <si>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</si>
  <si>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</si>
  <si>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</si>
  <si>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</si>
  <si>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</si>
  <si>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</si>
  <si>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</si>
  <si>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</si>
  <si>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</si>
  <si>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</si>
  <si>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</si>
  <si>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</si>
  <si>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</si>
  <si>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</si>
  <si>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</si>
  <si>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</si>
  <si>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</si>
  <si>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</si>
  <si>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</si>
  <si>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</si>
  <si>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</si>
  <si>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</si>
  <si>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</si>
  <si>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</si>
  <si>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</si>
  <si>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</si>
  <si>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</si>
  <si>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</si>
  <si>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</si>
  <si>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</si>
  <si>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</si>
  <si>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</si>
  <si>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</si>
  <si>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</si>
  <si>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 Clients</t>
  </si>
  <si>
    <t>Carrosserie% profit / ventes</t>
  </si>
  <si>
    <t>CarrosserieM/O Carrosserie</t>
  </si>
  <si>
    <t>Carrosserie Interne</t>
  </si>
  <si>
    <t>CarrosserieM/O Esthétique Carr.</t>
  </si>
  <si>
    <t>Carrosserie Concessions</t>
  </si>
  <si>
    <t>Ajustement M/O Carrosserie</t>
  </si>
  <si>
    <t>CarrosserieTotal Mécanique</t>
  </si>
  <si>
    <t>Total Carrosserie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</si>
  <si>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</si>
  <si>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</si>
  <si>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</si>
  <si>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</si>
  <si>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</si>
  <si>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</si>
  <si>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</si>
  <si>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</si>
  <si>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</si>
  <si>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</si>
  <si>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</si>
  <si>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</si>
  <si>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</si>
  <si>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</si>
  <si>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</si>
  <si>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</si>
  <si>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</si>
  <si>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</si>
  <si>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</si>
  <si>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</si>
  <si>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</si>
  <si>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</si>
  <si>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</si>
  <si>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</si>
  <si>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</si>
  <si>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</si>
  <si>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Frais assurances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</si>
  <si>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</si>
  <si>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</si>
  <si>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</si>
  <si>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</si>
  <si>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</si>
  <si>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</si>
  <si>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</si>
  <si>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</si>
  <si>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</si>
  <si>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</si>
  <si>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</si>
  <si>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</si>
  <si>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</si>
  <si>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</si>
  <si>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</si>
  <si>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</si>
  <si>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</si>
  <si>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</si>
  <si>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</si>
  <si>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</si>
  <si>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</si>
  <si>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</si>
  <si>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</si>
  <si>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</si>
  <si>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</si>
  <si>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</si>
  <si>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</si>
  <si>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</si>
  <si>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</si>
  <si>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</si>
  <si>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</si>
  <si>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</si>
  <si>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</si>
  <si>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</si>
  <si>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</si>
  <si>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</si>
  <si>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</si>
  <si>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</si>
  <si>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</si>
  <si>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</si>
  <si>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SAAQ</t>
  </si>
  <si>
    <t>Inspection - Véhicules Lourds</t>
  </si>
  <si>
    <t>Inspection - Véhicules Légers</t>
  </si>
  <si>
    <t>Inspection - Véhicules Interne</t>
  </si>
  <si>
    <t>Ajustement M/O SAAQ</t>
  </si>
  <si>
    <t>BoutiqueBoutique</t>
  </si>
  <si>
    <t>Total Dépt. SAAQ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</si>
  <si>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</si>
  <si>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</si>
  <si>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</si>
  <si>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</si>
  <si>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</si>
  <si>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</si>
  <si>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</si>
  <si>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</si>
  <si>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</si>
  <si>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</si>
  <si>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</si>
  <si>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</si>
  <si>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</si>
  <si>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</si>
  <si>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</si>
  <si>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</si>
  <si>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</si>
  <si>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</si>
  <si>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</si>
  <si>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</si>
  <si>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</si>
  <si>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</si>
  <si>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</si>
  <si>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</si>
  <si>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</si>
  <si>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</si>
  <si>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</si>
  <si>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</si>
  <si>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>Programme neuf 1</t>
  </si>
  <si>
    <t>Volks</t>
  </si>
  <si>
    <t>A partir de juin</t>
  </si>
  <si>
    <t>M-A sal + com - reclassé AAD</t>
  </si>
  <si>
    <t>doit revoir les amortissements après avoir passé les régularisations</t>
  </si>
  <si>
    <t>EF</t>
  </si>
  <si>
    <t>Frais document reclassé</t>
  </si>
  <si>
    <t>Manquait salaire de base</t>
  </si>
  <si>
    <t>Carl + com Tristan, Frederick</t>
  </si>
  <si>
    <t>Julien, Mathieu, M-E + comm  - crédit Hawkesburry - 150$ can/ auto US STM - Ajusté 500$ profit WS LMB AAD *50%</t>
  </si>
  <si>
    <t>A partir de juillet</t>
  </si>
  <si>
    <t>Livre des ventes</t>
  </si>
  <si>
    <t>Crédit de juin - décalé d'un mois ??</t>
  </si>
  <si>
    <t>-29k Bateau, -47k erreur juin, vte en double</t>
  </si>
  <si>
    <t>A partir de août</t>
  </si>
  <si>
    <t>Loyer 71050$, aucun terrain</t>
  </si>
  <si>
    <t>LAR</t>
  </si>
  <si>
    <t>Frais document reclassé - correction charge de juillet</t>
  </si>
  <si>
    <t>14 à 699$ et 38 à 200$ = 52</t>
  </si>
  <si>
    <t>14 dossiers</t>
  </si>
  <si>
    <t>Loyer 71050$, ajustement loyer début année 320 route 132</t>
  </si>
  <si>
    <t>Facture 3400$ avocat dossier David</t>
  </si>
  <si>
    <t>Boni cadres</t>
  </si>
  <si>
    <t>Frais sur 77 dossiers (1 a 500$ et 10 à 200$)</t>
  </si>
  <si>
    <t>Réalisé, Juillet 2026</t>
  </si>
  <si>
    <t>Réalisé, Aout 2026</t>
  </si>
  <si>
    <t>Réalisé, Septembre 2026</t>
  </si>
  <si>
    <t>Q3 2026</t>
  </si>
  <si>
    <t>Renv 11k provision début anné Sylvie</t>
  </si>
  <si>
    <t>Ristourne peinture 3 mois</t>
  </si>
  <si>
    <t>Tout à l'aire ok, 2k de perte en août, erreur entre les mois ?</t>
  </si>
  <si>
    <t>Renverser trop passé pour party noel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</si>
</sst>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_(* #,##0_);_(* \(#,##0\);_(* &quot;-&quot;??_);_(@_)"/>
    <numFmt numFmtId="168" formatCode="_-* #,##0.00\ _$_-;_-* #,##0.00\ _$\-;_-* &quot;-&quot;??\ _$_-;_-@_-"/>
    <numFmt numFmtId="169" formatCode="_-* #,##0.00\ &quot;$&quot;_-;_-* #,##0.00\ &quot;$&quot;\-;_-* &quot;-&quot;??\ &quot;$&quot;_-;_-@_-"/>
    <numFmt numFmtId="170" formatCode="_-* #,##0.00_-;\-* #,##0.00_-;_-* &quot;-&quot;??_-;_-@_-"/>
    <numFmt numFmtId="171" formatCode="d/m/yyyy"/>
    <numFmt numFmtId="172" formatCode="_-* #,##0.00_-;\-* #,##0.00_-;_-* &quot;-&quot;??_-;_-@"/>
  </numFmts>
  <fonts count="39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4"/>
      <color theme="1"/>
      <name val="Arial"/>
      <family val="2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28"/>
      <color theme="0"/>
      <name val="Arial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b/>
      <sz val="11"/>
      <color rgb="FF002060"/>
      <name val="Arial"/>
      <family val="2"/>
    </font>
    <font>
      <b/>
      <sz val="24"/>
      <color theme="0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theme="1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</fills>
  <borders count="7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indexed="64"/>
      </right>
      <top style="thin">
        <color rgb="FF000000"/>
      </top>
      <bottom/>
      <diagonal/>
    </border>
    <border>
      <left style="thick">
        <color rgb="FF000000"/>
      </left>
      <right style="thick">
        <color indexed="64"/>
      </right>
      <top/>
      <bottom/>
      <diagonal/>
    </border>
    <border>
      <left style="thick">
        <color rgb="FF000000"/>
      </left>
      <right style="thick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indexed="64"/>
      </left>
      <right/>
      <top style="thick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</borders>
  <cellStyleXfs count="17">
    <xf numFmtId="0" fontId="0" fillId="0" borderId="0"/>
    <xf numFmtId="9" fontId="12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0" fontId="5" fillId="0" borderId="0"/>
    <xf numFmtId="0" fontId="20" fillId="0" borderId="0"/>
    <xf numFmtId="168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12" fillId="0" borderId="0"/>
    <xf numFmtId="0" fontId="4" fillId="0" borderId="0"/>
    <xf numFmtId="0" fontId="20" fillId="0" borderId="0"/>
    <xf numFmtId="43" fontId="2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</cellStyleXfs>
  <cellXfs count="460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164" fontId="8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3" fontId="9" fillId="0" borderId="1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2" xfId="0" applyNumberFormat="1" applyFont="1" applyBorder="1" applyAlignment="1">
      <alignment horizontal="center"/>
    </xf>
    <xf numFmtId="3" fontId="9" fillId="0" borderId="3" xfId="0" applyNumberFormat="1" applyFont="1" applyBorder="1" applyAlignment="1">
      <alignment horizontal="center"/>
    </xf>
    <xf numFmtId="3" fontId="9" fillId="0" borderId="4" xfId="0" applyNumberFormat="1" applyFont="1" applyBorder="1" applyAlignment="1">
      <alignment horizontal="center"/>
    </xf>
    <xf numFmtId="3" fontId="9" fillId="0" borderId="5" xfId="0" applyNumberFormat="1" applyFont="1" applyBorder="1"/>
    <xf numFmtId="0" fontId="9" fillId="0" borderId="6" xfId="0" applyFont="1" applyBorder="1"/>
    <xf numFmtId="3" fontId="9" fillId="0" borderId="4" xfId="0" applyNumberFormat="1" applyFont="1" applyBorder="1" applyAlignment="1">
      <alignment horizontal="right"/>
    </xf>
    <xf numFmtId="3" fontId="9" fillId="0" borderId="7" xfId="0" applyNumberFormat="1" applyFont="1" applyBorder="1"/>
    <xf numFmtId="3" fontId="9" fillId="0" borderId="6" xfId="0" applyNumberFormat="1" applyFont="1" applyBorder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0" xfId="0" applyNumberFormat="1" applyFont="1"/>
    <xf numFmtId="3" fontId="9" fillId="0" borderId="3" xfId="0" applyNumberFormat="1" applyFont="1" applyBorder="1"/>
    <xf numFmtId="3" fontId="9" fillId="0" borderId="2" xfId="0" applyNumberFormat="1" applyFont="1" applyBorder="1"/>
    <xf numFmtId="3" fontId="10" fillId="0" borderId="1" xfId="0" applyNumberFormat="1" applyFont="1" applyBorder="1"/>
    <xf numFmtId="3" fontId="10" fillId="0" borderId="9" xfId="0" applyNumberFormat="1" applyFont="1" applyBorder="1"/>
    <xf numFmtId="3" fontId="10" fillId="0" borderId="10" xfId="0" applyNumberFormat="1" applyFont="1" applyBorder="1"/>
    <xf numFmtId="0" fontId="9" fillId="0" borderId="2" xfId="0" applyFont="1" applyBorder="1"/>
    <xf numFmtId="0" fontId="9" fillId="0" borderId="3" xfId="0" applyFont="1" applyBorder="1"/>
    <xf numFmtId="165" fontId="10" fillId="0" borderId="3" xfId="0" applyNumberFormat="1" applyFont="1" applyBorder="1"/>
    <xf numFmtId="165" fontId="10" fillId="0" borderId="2" xfId="0" applyNumberFormat="1" applyFont="1" applyBorder="1"/>
    <xf numFmtId="3" fontId="9" fillId="0" borderId="11" xfId="0" applyNumberFormat="1" applyFont="1" applyBorder="1"/>
    <xf numFmtId="3" fontId="9" fillId="0" borderId="4" xfId="0" applyNumberFormat="1" applyFont="1" applyBorder="1"/>
    <xf numFmtId="3" fontId="9" fillId="0" borderId="8" xfId="0" applyNumberFormat="1" applyFont="1" applyBorder="1"/>
    <xf numFmtId="3" fontId="10" fillId="0" borderId="6" xfId="0" applyNumberFormat="1" applyFont="1" applyBorder="1"/>
    <xf numFmtId="3" fontId="10" fillId="0" borderId="4" xfId="0" applyNumberFormat="1" applyFont="1" applyBorder="1"/>
    <xf numFmtId="3" fontId="9" fillId="0" borderId="6" xfId="0" applyNumberFormat="1" applyFont="1" applyBorder="1"/>
    <xf numFmtId="3" fontId="9" fillId="0" borderId="1" xfId="0" applyNumberFormat="1" applyFont="1" applyBorder="1"/>
    <xf numFmtId="3" fontId="9" fillId="0" borderId="9" xfId="0" applyNumberFormat="1" applyFont="1" applyBorder="1"/>
    <xf numFmtId="3" fontId="9" fillId="0" borderId="10" xfId="0" applyNumberFormat="1" applyFont="1" applyBorder="1"/>
    <xf numFmtId="3" fontId="10" fillId="0" borderId="3" xfId="0" applyNumberFormat="1" applyFont="1" applyBorder="1"/>
    <xf numFmtId="37" fontId="9" fillId="0" borderId="2" xfId="0" applyNumberFormat="1" applyFont="1" applyBorder="1"/>
    <xf numFmtId="37" fontId="9" fillId="0" borderId="3" xfId="0" applyNumberFormat="1" applyFont="1" applyBorder="1"/>
    <xf numFmtId="37" fontId="10" fillId="2" borderId="12" xfId="0" applyNumberFormat="1" applyFont="1" applyFill="1" applyBorder="1"/>
    <xf numFmtId="3" fontId="10" fillId="2" borderId="12" xfId="0" applyNumberFormat="1" applyFont="1" applyFill="1" applyBorder="1"/>
    <xf numFmtId="37" fontId="10" fillId="2" borderId="13" xfId="0" applyNumberFormat="1" applyFont="1" applyFill="1" applyBorder="1"/>
    <xf numFmtId="37" fontId="10" fillId="2" borderId="14" xfId="0" applyNumberFormat="1" applyFont="1" applyFill="1" applyBorder="1"/>
    <xf numFmtId="0" fontId="10" fillId="2" borderId="15" xfId="0" applyFont="1" applyFill="1" applyBorder="1"/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7" xfId="0" applyNumberFormat="1" applyFont="1" applyFill="1" applyBorder="1"/>
    <xf numFmtId="165" fontId="10" fillId="2" borderId="16" xfId="0" applyNumberFormat="1" applyFont="1" applyFill="1" applyBorder="1"/>
    <xf numFmtId="0" fontId="10" fillId="0" borderId="0" xfId="0" applyFont="1"/>
    <xf numFmtId="0" fontId="10" fillId="0" borderId="2" xfId="0" applyFont="1" applyBorder="1"/>
    <xf numFmtId="0" fontId="10" fillId="0" borderId="3" xfId="0" applyFont="1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3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37" fontId="9" fillId="0" borderId="4" xfId="0" applyNumberFormat="1" applyFont="1" applyBorder="1"/>
    <xf numFmtId="0" fontId="9" fillId="0" borderId="6" xfId="0" applyFont="1" applyBorder="1" applyAlignment="1">
      <alignment horizontal="right"/>
    </xf>
    <xf numFmtId="37" fontId="9" fillId="0" borderId="7" xfId="0" applyNumberFormat="1" applyFont="1" applyBorder="1"/>
    <xf numFmtId="37" fontId="9" fillId="0" borderId="8" xfId="0" applyNumberFormat="1" applyFont="1" applyBorder="1"/>
    <xf numFmtId="0" fontId="10" fillId="2" borderId="18" xfId="0" applyFont="1" applyFill="1" applyBorder="1" applyAlignment="1">
      <alignment horizontal="center"/>
    </xf>
    <xf numFmtId="165" fontId="10" fillId="2" borderId="18" xfId="0" applyNumberFormat="1" applyFont="1" applyFill="1" applyBorder="1"/>
    <xf numFmtId="37" fontId="10" fillId="2" borderId="19" xfId="0" applyNumberFormat="1" applyFont="1" applyFill="1" applyBorder="1"/>
    <xf numFmtId="0" fontId="10" fillId="2" borderId="20" xfId="0" applyFont="1" applyFill="1" applyBorder="1" applyAlignment="1">
      <alignment horizontal="center"/>
    </xf>
    <xf numFmtId="0" fontId="9" fillId="2" borderId="21" xfId="0" applyFont="1" applyFill="1" applyBorder="1"/>
    <xf numFmtId="0" fontId="9" fillId="2" borderId="20" xfId="0" applyFont="1" applyFill="1" applyBorder="1"/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9" fillId="0" borderId="10" xfId="0" applyFont="1" applyBorder="1" applyAlignment="1">
      <alignment horizontal="right"/>
    </xf>
    <xf numFmtId="0" fontId="9" fillId="0" borderId="10" xfId="0" applyFont="1" applyBorder="1"/>
    <xf numFmtId="37" fontId="9" fillId="0" borderId="9" xfId="0" applyNumberFormat="1" applyFont="1" applyBorder="1"/>
    <xf numFmtId="0" fontId="9" fillId="0" borderId="4" xfId="0" applyFont="1" applyBorder="1"/>
    <xf numFmtId="37" fontId="10" fillId="0" borderId="0" xfId="0" applyNumberFormat="1" applyFont="1"/>
    <xf numFmtId="0" fontId="9" fillId="3" borderId="0" xfId="0" applyFont="1" applyFill="1"/>
    <xf numFmtId="0" fontId="10" fillId="3" borderId="0" xfId="0" applyFont="1" applyFill="1"/>
    <xf numFmtId="37" fontId="10" fillId="3" borderId="2" xfId="0" applyNumberFormat="1" applyFont="1" applyFill="1" applyBorder="1"/>
    <xf numFmtId="0" fontId="9" fillId="3" borderId="3" xfId="0" applyFont="1" applyFill="1" applyBorder="1"/>
    <xf numFmtId="0" fontId="9" fillId="3" borderId="6" xfId="0" applyFont="1" applyFill="1" applyBorder="1"/>
    <xf numFmtId="0" fontId="9" fillId="3" borderId="4" xfId="0" applyFont="1" applyFill="1" applyBorder="1"/>
    <xf numFmtId="37" fontId="10" fillId="3" borderId="8" xfId="0" applyNumberFormat="1" applyFont="1" applyFill="1" applyBorder="1"/>
    <xf numFmtId="0" fontId="14" fillId="0" borderId="0" xfId="0" applyFont="1"/>
    <xf numFmtId="37" fontId="14" fillId="0" borderId="0" xfId="0" applyNumberFormat="1" applyFont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5" fillId="0" borderId="0" xfId="0" applyFont="1"/>
    <xf numFmtId="39" fontId="9" fillId="0" borderId="0" xfId="0" applyNumberFormat="1" applyFont="1"/>
    <xf numFmtId="3" fontId="10" fillId="0" borderId="8" xfId="0" applyNumberFormat="1" applyFont="1" applyBorder="1"/>
    <xf numFmtId="166" fontId="9" fillId="0" borderId="0" xfId="0" applyNumberFormat="1" applyFont="1"/>
    <xf numFmtId="37" fontId="9" fillId="0" borderId="5" xfId="0" applyNumberFormat="1" applyFont="1" applyBorder="1"/>
    <xf numFmtId="165" fontId="9" fillId="0" borderId="0" xfId="0" applyNumberFormat="1" applyFont="1"/>
    <xf numFmtId="0" fontId="10" fillId="0" borderId="0" xfId="0" applyFont="1" applyAlignment="1">
      <alignment horizontal="center"/>
    </xf>
    <xf numFmtId="165" fontId="10" fillId="0" borderId="0" xfId="0" applyNumberFormat="1" applyFont="1"/>
    <xf numFmtId="0" fontId="10" fillId="0" borderId="3" xfId="0" applyFont="1" applyBorder="1" applyAlignment="1">
      <alignment horizontal="center"/>
    </xf>
    <xf numFmtId="37" fontId="8" fillId="0" borderId="0" xfId="0" applyNumberFormat="1" applyFont="1"/>
    <xf numFmtId="1" fontId="9" fillId="0" borderId="3" xfId="0" applyNumberFormat="1" applyFont="1" applyBorder="1"/>
    <xf numFmtId="165" fontId="9" fillId="0" borderId="3" xfId="0" applyNumberFormat="1" applyFont="1" applyBorder="1"/>
    <xf numFmtId="165" fontId="9" fillId="0" borderId="2" xfId="0" applyNumberFormat="1" applyFont="1" applyBorder="1"/>
    <xf numFmtId="166" fontId="9" fillId="0" borderId="4" xfId="0" applyNumberFormat="1" applyFont="1" applyBorder="1"/>
    <xf numFmtId="165" fontId="9" fillId="0" borderId="8" xfId="0" applyNumberFormat="1" applyFont="1" applyBorder="1"/>
    <xf numFmtId="37" fontId="9" fillId="0" borderId="6" xfId="0" applyNumberFormat="1" applyFont="1" applyBorder="1"/>
    <xf numFmtId="165" fontId="9" fillId="0" borderId="6" xfId="0" applyNumberFormat="1" applyFont="1" applyBorder="1"/>
    <xf numFmtId="37" fontId="9" fillId="0" borderId="1" xfId="0" applyNumberFormat="1" applyFont="1" applyBorder="1"/>
    <xf numFmtId="37" fontId="9" fillId="0" borderId="10" xfId="0" applyNumberFormat="1" applyFont="1" applyBorder="1"/>
    <xf numFmtId="165" fontId="10" fillId="0" borderId="8" xfId="0" applyNumberFormat="1" applyFont="1" applyBorder="1"/>
    <xf numFmtId="165" fontId="9" fillId="0" borderId="5" xfId="0" applyNumberFormat="1" applyFont="1" applyBorder="1"/>
    <xf numFmtId="165" fontId="9" fillId="0" borderId="10" xfId="0" applyNumberFormat="1" applyFont="1" applyBorder="1"/>
    <xf numFmtId="166" fontId="10" fillId="0" borderId="0" xfId="0" applyNumberFormat="1" applyFont="1"/>
    <xf numFmtId="37" fontId="10" fillId="0" borderId="3" xfId="0" applyNumberFormat="1" applyFont="1" applyBorder="1"/>
    <xf numFmtId="37" fontId="10" fillId="0" borderId="2" xfId="0" applyNumberFormat="1" applyFont="1" applyBorder="1"/>
    <xf numFmtId="0" fontId="10" fillId="0" borderId="6" xfId="0" applyFont="1" applyBorder="1"/>
    <xf numFmtId="37" fontId="10" fillId="0" borderId="6" xfId="0" applyNumberFormat="1" applyFont="1" applyBorder="1"/>
    <xf numFmtId="37" fontId="10" fillId="0" borderId="8" xfId="0" applyNumberFormat="1" applyFont="1" applyBorder="1"/>
    <xf numFmtId="37" fontId="10" fillId="3" borderId="12" xfId="0" applyNumberFormat="1" applyFont="1" applyFill="1" applyBorder="1"/>
    <xf numFmtId="37" fontId="10" fillId="3" borderId="13" xfId="0" applyNumberFormat="1" applyFont="1" applyFill="1" applyBorder="1"/>
    <xf numFmtId="37" fontId="10" fillId="3" borderId="14" xfId="0" applyNumberFormat="1" applyFont="1" applyFill="1" applyBorder="1"/>
    <xf numFmtId="37" fontId="10" fillId="3" borderId="4" xfId="0" applyNumberFormat="1" applyFont="1" applyFill="1" applyBorder="1"/>
    <xf numFmtId="165" fontId="10" fillId="3" borderId="8" xfId="0" applyNumberFormat="1" applyFont="1" applyFill="1" applyBorder="1"/>
    <xf numFmtId="37" fontId="10" fillId="3" borderId="6" xfId="0" applyNumberFormat="1" applyFont="1" applyFill="1" applyBorder="1"/>
    <xf numFmtId="37" fontId="10" fillId="0" borderId="1" xfId="0" applyNumberFormat="1" applyFont="1" applyBorder="1"/>
    <xf numFmtId="37" fontId="10" fillId="0" borderId="9" xfId="0" applyNumberFormat="1" applyFont="1" applyBorder="1"/>
    <xf numFmtId="37" fontId="10" fillId="0" borderId="10" xfId="0" applyNumberFormat="1" applyFont="1" applyBorder="1"/>
    <xf numFmtId="37" fontId="10" fillId="3" borderId="1" xfId="0" applyNumberFormat="1" applyFont="1" applyFill="1" applyBorder="1"/>
    <xf numFmtId="166" fontId="10" fillId="3" borderId="1" xfId="0" applyNumberFormat="1" applyFont="1" applyFill="1" applyBorder="1"/>
    <xf numFmtId="37" fontId="10" fillId="3" borderId="9" xfId="0" applyNumberFormat="1" applyFont="1" applyFill="1" applyBorder="1"/>
    <xf numFmtId="37" fontId="10" fillId="3" borderId="10" xfId="0" applyNumberFormat="1" applyFont="1" applyFill="1" applyBorder="1"/>
    <xf numFmtId="165" fontId="10" fillId="2" borderId="14" xfId="0" applyNumberFormat="1" applyFont="1" applyFill="1" applyBorder="1"/>
    <xf numFmtId="0" fontId="9" fillId="0" borderId="11" xfId="0" applyFont="1" applyBorder="1" applyAlignment="1">
      <alignment horizontal="center"/>
    </xf>
    <xf numFmtId="1" fontId="9" fillId="0" borderId="10" xfId="0" applyNumberFormat="1" applyFont="1" applyBorder="1"/>
    <xf numFmtId="2" fontId="9" fillId="0" borderId="4" xfId="0" applyNumberFormat="1" applyFont="1" applyBorder="1"/>
    <xf numFmtId="165" fontId="10" fillId="0" borderId="1" xfId="0" applyNumberFormat="1" applyFont="1" applyBorder="1"/>
    <xf numFmtId="165" fontId="10" fillId="0" borderId="10" xfId="0" applyNumberFormat="1" applyFont="1" applyBorder="1"/>
    <xf numFmtId="0" fontId="9" fillId="0" borderId="8" xfId="0" applyFont="1" applyBorder="1"/>
    <xf numFmtId="165" fontId="9" fillId="0" borderId="4" xfId="0" applyNumberFormat="1" applyFont="1" applyBorder="1"/>
    <xf numFmtId="165" fontId="10" fillId="2" borderId="12" xfId="0" applyNumberFormat="1" applyFont="1" applyFill="1" applyBorder="1"/>
    <xf numFmtId="37" fontId="10" fillId="2" borderId="26" xfId="0" applyNumberFormat="1" applyFont="1" applyFill="1" applyBorder="1"/>
    <xf numFmtId="0" fontId="10" fillId="2" borderId="20" xfId="0" applyFont="1" applyFill="1" applyBorder="1"/>
    <xf numFmtId="0" fontId="16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3" fillId="0" borderId="4" xfId="0" applyFont="1" applyBorder="1"/>
    <xf numFmtId="37" fontId="13" fillId="0" borderId="28" xfId="0" applyNumberFormat="1" applyFont="1" applyBorder="1"/>
    <xf numFmtId="37" fontId="13" fillId="0" borderId="29" xfId="0" applyNumberFormat="1" applyFont="1" applyBorder="1"/>
    <xf numFmtId="37" fontId="13" fillId="0" borderId="4" xfId="0" applyNumberFormat="1" applyFont="1" applyBorder="1"/>
    <xf numFmtId="165" fontId="13" fillId="0" borderId="4" xfId="0" applyNumberFormat="1" applyFont="1" applyBorder="1"/>
    <xf numFmtId="37" fontId="13" fillId="0" borderId="30" xfId="0" applyNumberFormat="1" applyFont="1" applyBorder="1"/>
    <xf numFmtId="0" fontId="16" fillId="2" borderId="4" xfId="0" applyFont="1" applyFill="1" applyBorder="1"/>
    <xf numFmtId="37" fontId="16" fillId="2" borderId="28" xfId="0" applyNumberFormat="1" applyFont="1" applyFill="1" applyBorder="1"/>
    <xf numFmtId="37" fontId="16" fillId="2" borderId="29" xfId="0" applyNumberFormat="1" applyFont="1" applyFill="1" applyBorder="1"/>
    <xf numFmtId="37" fontId="16" fillId="2" borderId="4" xfId="0" applyNumberFormat="1" applyFont="1" applyFill="1" applyBorder="1"/>
    <xf numFmtId="165" fontId="16" fillId="2" borderId="4" xfId="0" applyNumberFormat="1" applyFont="1" applyFill="1" applyBorder="1"/>
    <xf numFmtId="37" fontId="16" fillId="2" borderId="30" xfId="0" applyNumberFormat="1" applyFont="1" applyFill="1" applyBorder="1"/>
    <xf numFmtId="0" fontId="13" fillId="0" borderId="0" xfId="0" applyFont="1"/>
    <xf numFmtId="37" fontId="13" fillId="0" borderId="31" xfId="0" applyNumberFormat="1" applyFont="1" applyBorder="1"/>
    <xf numFmtId="37" fontId="13" fillId="0" borderId="32" xfId="0" applyNumberFormat="1" applyFont="1" applyBorder="1"/>
    <xf numFmtId="37" fontId="13" fillId="0" borderId="0" xfId="0" applyNumberFormat="1" applyFont="1"/>
    <xf numFmtId="165" fontId="13" fillId="0" borderId="0" xfId="0" applyNumberFormat="1" applyFont="1"/>
    <xf numFmtId="37" fontId="13" fillId="0" borderId="33" xfId="0" applyNumberFormat="1" applyFont="1" applyBorder="1"/>
    <xf numFmtId="0" fontId="13" fillId="0" borderId="0" xfId="0" applyFont="1" applyAlignment="1">
      <alignment horizontal="right"/>
    </xf>
    <xf numFmtId="166" fontId="13" fillId="0" borderId="0" xfId="0" applyNumberFormat="1" applyFont="1"/>
    <xf numFmtId="0" fontId="13" fillId="0" borderId="32" xfId="0" applyFont="1" applyBorder="1"/>
    <xf numFmtId="0" fontId="13" fillId="0" borderId="4" xfId="0" applyFont="1" applyBorder="1" applyAlignment="1">
      <alignment horizontal="right"/>
    </xf>
    <xf numFmtId="166" fontId="13" fillId="0" borderId="4" xfId="0" applyNumberFormat="1" applyFont="1" applyBorder="1"/>
    <xf numFmtId="0" fontId="13" fillId="0" borderId="29" xfId="0" applyFont="1" applyBorder="1"/>
    <xf numFmtId="165" fontId="13" fillId="0" borderId="28" xfId="0" applyNumberFormat="1" applyFont="1" applyBorder="1"/>
    <xf numFmtId="0" fontId="16" fillId="2" borderId="18" xfId="0" applyFont="1" applyFill="1" applyBorder="1"/>
    <xf numFmtId="165" fontId="16" fillId="2" borderId="18" xfId="0" applyNumberFormat="1" applyFont="1" applyFill="1" applyBorder="1"/>
    <xf numFmtId="37" fontId="16" fillId="2" borderId="34" xfId="0" applyNumberFormat="1" applyFont="1" applyFill="1" applyBorder="1"/>
    <xf numFmtId="165" fontId="16" fillId="2" borderId="21" xfId="0" applyNumberFormat="1" applyFont="1" applyFill="1" applyBorder="1"/>
    <xf numFmtId="0" fontId="16" fillId="2" borderId="21" xfId="0" applyFont="1" applyFill="1" applyBorder="1"/>
    <xf numFmtId="37" fontId="16" fillId="2" borderId="18" xfId="0" applyNumberFormat="1" applyFont="1" applyFill="1" applyBorder="1"/>
    <xf numFmtId="43" fontId="8" fillId="0" borderId="0" xfId="0" applyNumberFormat="1" applyFont="1"/>
    <xf numFmtId="165" fontId="13" fillId="0" borderId="31" xfId="0" applyNumberFormat="1" applyFont="1" applyBorder="1"/>
    <xf numFmtId="166" fontId="16" fillId="2" borderId="18" xfId="0" applyNumberFormat="1" applyFont="1" applyFill="1" applyBorder="1"/>
    <xf numFmtId="37" fontId="16" fillId="2" borderId="21" xfId="0" applyNumberFormat="1" applyFont="1" applyFill="1" applyBorder="1"/>
    <xf numFmtId="37" fontId="16" fillId="2" borderId="35" xfId="0" applyNumberFormat="1" applyFont="1" applyFill="1" applyBorder="1"/>
    <xf numFmtId="0" fontId="13" fillId="0" borderId="1" xfId="0" applyFont="1" applyBorder="1" applyAlignment="1">
      <alignment horizontal="right"/>
    </xf>
    <xf numFmtId="0" fontId="13" fillId="0" borderId="1" xfId="0" applyFont="1" applyBorder="1"/>
    <xf numFmtId="37" fontId="13" fillId="0" borderId="36" xfId="0" applyNumberFormat="1" applyFont="1" applyBorder="1"/>
    <xf numFmtId="0" fontId="13" fillId="0" borderId="37" xfId="0" applyFont="1" applyBorder="1"/>
    <xf numFmtId="166" fontId="13" fillId="0" borderId="1" xfId="0" applyNumberFormat="1" applyFont="1" applyBorder="1"/>
    <xf numFmtId="37" fontId="13" fillId="0" borderId="1" xfId="0" applyNumberFormat="1" applyFont="1" applyBorder="1"/>
    <xf numFmtId="165" fontId="13" fillId="0" borderId="1" xfId="0" applyNumberFormat="1" applyFont="1" applyBorder="1"/>
    <xf numFmtId="37" fontId="13" fillId="0" borderId="38" xfId="0" applyNumberFormat="1" applyFont="1" applyBorder="1"/>
    <xf numFmtId="0" fontId="13" fillId="2" borderId="18" xfId="0" applyFont="1" applyFill="1" applyBorder="1"/>
    <xf numFmtId="165" fontId="16" fillId="0" borderId="0" xfId="0" applyNumberFormat="1" applyFont="1"/>
    <xf numFmtId="0" fontId="16" fillId="0" borderId="0" xfId="0" applyFont="1"/>
    <xf numFmtId="165" fontId="13" fillId="0" borderId="36" xfId="0" applyNumberFormat="1" applyFont="1" applyBorder="1"/>
    <xf numFmtId="0" fontId="13" fillId="0" borderId="31" xfId="0" applyFont="1" applyBorder="1"/>
    <xf numFmtId="0" fontId="13" fillId="0" borderId="33" xfId="0" applyFont="1" applyBorder="1"/>
    <xf numFmtId="165" fontId="16" fillId="0" borderId="1" xfId="0" applyNumberFormat="1" applyFont="1" applyBorder="1"/>
    <xf numFmtId="0" fontId="16" fillId="0" borderId="1" xfId="0" applyFont="1" applyBorder="1"/>
    <xf numFmtId="165" fontId="16" fillId="0" borderId="37" xfId="0" applyNumberFormat="1" applyFont="1" applyBorder="1"/>
    <xf numFmtId="37" fontId="16" fillId="0" borderId="37" xfId="0" applyNumberFormat="1" applyFont="1" applyBorder="1"/>
    <xf numFmtId="37" fontId="16" fillId="0" borderId="1" xfId="0" applyNumberFormat="1" applyFont="1" applyBorder="1"/>
    <xf numFmtId="165" fontId="16" fillId="0" borderId="32" xfId="0" applyNumberFormat="1" applyFont="1" applyBorder="1"/>
    <xf numFmtId="37" fontId="16" fillId="0" borderId="32" xfId="0" applyNumberFormat="1" applyFont="1" applyBorder="1"/>
    <xf numFmtId="37" fontId="16" fillId="0" borderId="0" xfId="0" applyNumberFormat="1" applyFont="1"/>
    <xf numFmtId="37" fontId="13" fillId="2" borderId="35" xfId="0" applyNumberFormat="1" applyFont="1" applyFill="1" applyBorder="1"/>
    <xf numFmtId="0" fontId="16" fillId="3" borderId="1" xfId="0" applyFont="1" applyFill="1" applyBorder="1"/>
    <xf numFmtId="37" fontId="16" fillId="3" borderId="1" xfId="0" applyNumberFormat="1" applyFont="1" applyFill="1" applyBorder="1"/>
    <xf numFmtId="37" fontId="13" fillId="3" borderId="36" xfId="0" applyNumberFormat="1" applyFont="1" applyFill="1" applyBorder="1"/>
    <xf numFmtId="0" fontId="13" fillId="3" borderId="1" xfId="0" applyFont="1" applyFill="1" applyBorder="1"/>
    <xf numFmtId="37" fontId="13" fillId="3" borderId="37" xfId="0" applyNumberFormat="1" applyFont="1" applyFill="1" applyBorder="1"/>
    <xf numFmtId="37" fontId="13" fillId="3" borderId="0" xfId="0" applyNumberFormat="1" applyFont="1" applyFill="1"/>
    <xf numFmtId="165" fontId="13" fillId="3" borderId="0" xfId="0" applyNumberFormat="1" applyFont="1" applyFill="1"/>
    <xf numFmtId="37" fontId="13" fillId="3" borderId="38" xfId="0" applyNumberFormat="1" applyFont="1" applyFill="1" applyBorder="1"/>
    <xf numFmtId="0" fontId="8" fillId="0" borderId="33" xfId="0" applyFont="1" applyBorder="1"/>
    <xf numFmtId="0" fontId="18" fillId="0" borderId="40" xfId="0" applyFont="1" applyBorder="1" applyAlignment="1">
      <alignment vertical="center"/>
    </xf>
    <xf numFmtId="0" fontId="0" fillId="0" borderId="0" xfId="0" applyAlignment="1">
      <alignment vertical="center"/>
    </xf>
    <xf numFmtId="0" fontId="19" fillId="0" borderId="40" xfId="0" applyFont="1" applyBorder="1" applyAlignment="1">
      <alignment vertical="center"/>
    </xf>
    <xf numFmtId="0" fontId="19" fillId="0" borderId="41" xfId="0" applyFont="1" applyBorder="1" applyAlignment="1">
      <alignment vertical="center"/>
    </xf>
    <xf numFmtId="37" fontId="19" fillId="0" borderId="42" xfId="0" applyNumberFormat="1" applyFont="1" applyBorder="1" applyAlignment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3" fontId="0" fillId="0" borderId="43" xfId="0" applyNumberFormat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0" fontId="19" fillId="6" borderId="39" xfId="0" applyFont="1" applyFill="1" applyBorder="1" applyAlignment="1">
      <alignment horizontal="center"/>
    </xf>
    <xf numFmtId="0" fontId="19" fillId="7" borderId="39" xfId="0" applyFont="1" applyFill="1" applyBorder="1" applyAlignment="1">
      <alignment horizontal="center"/>
    </xf>
    <xf numFmtId="0" fontId="19" fillId="4" borderId="39" xfId="0" applyFont="1" applyFill="1" applyBorder="1" applyAlignment="1">
      <alignment horizontal="center"/>
    </xf>
    <xf numFmtId="3" fontId="18" fillId="0" borderId="42" xfId="0" applyNumberFormat="1" applyFont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37" fontId="19" fillId="0" borderId="44" xfId="0" applyNumberFormat="1" applyFont="1" applyBorder="1" applyAlignment="1">
      <alignment horizontal="center" vertical="center"/>
    </xf>
    <xf numFmtId="3" fontId="18" fillId="5" borderId="42" xfId="0" applyNumberFormat="1" applyFont="1" applyFill="1" applyBorder="1" applyAlignment="1">
      <alignment horizontal="center" vertical="center"/>
    </xf>
    <xf numFmtId="3" fontId="0" fillId="5" borderId="42" xfId="0" applyNumberFormat="1" applyFill="1" applyBorder="1" applyAlignment="1">
      <alignment horizontal="center" vertical="center"/>
    </xf>
    <xf numFmtId="3" fontId="0" fillId="5" borderId="43" xfId="0" applyNumberFormat="1" applyFill="1" applyBorder="1" applyAlignment="1">
      <alignment horizontal="center" vertical="center"/>
    </xf>
    <xf numFmtId="3" fontId="0" fillId="5" borderId="44" xfId="0" applyNumberForma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/>
    </xf>
    <xf numFmtId="0" fontId="12" fillId="0" borderId="0" xfId="0" applyFont="1"/>
    <xf numFmtId="0" fontId="23" fillId="0" borderId="0" xfId="0" applyFont="1" applyAlignment="1">
      <alignment horizontal="center"/>
    </xf>
    <xf numFmtId="3" fontId="23" fillId="0" borderId="0" xfId="0" applyNumberFormat="1" applyFont="1" applyAlignment="1">
      <alignment horizontal="center"/>
    </xf>
    <xf numFmtId="0" fontId="16" fillId="2" borderId="45" xfId="0" applyFont="1" applyFill="1" applyBorder="1"/>
    <xf numFmtId="0" fontId="16" fillId="2" borderId="46" xfId="0" applyFont="1" applyFill="1" applyBorder="1"/>
    <xf numFmtId="0" fontId="16" fillId="2" borderId="46" xfId="0" applyFont="1" applyFill="1" applyBorder="1" applyAlignment="1">
      <alignment horizontal="center"/>
    </xf>
    <xf numFmtId="165" fontId="16" fillId="2" borderId="46" xfId="0" applyNumberFormat="1" applyFont="1" applyFill="1" applyBorder="1"/>
    <xf numFmtId="37" fontId="16" fillId="2" borderId="47" xfId="0" applyNumberFormat="1" applyFont="1" applyFill="1" applyBorder="1"/>
    <xf numFmtId="37" fontId="16" fillId="2" borderId="46" xfId="0" applyNumberFormat="1" applyFont="1" applyFill="1" applyBorder="1"/>
    <xf numFmtId="37" fontId="16" fillId="2" borderId="48" xfId="0" applyNumberFormat="1" applyFont="1" applyFill="1" applyBorder="1"/>
    <xf numFmtId="165" fontId="16" fillId="2" borderId="49" xfId="0" applyNumberFormat="1" applyFont="1" applyFill="1" applyBorder="1"/>
    <xf numFmtId="37" fontId="16" fillId="2" borderId="50" xfId="0" applyNumberFormat="1" applyFont="1" applyFill="1" applyBorder="1"/>
    <xf numFmtId="165" fontId="16" fillId="2" borderId="51" xfId="0" applyNumberFormat="1" applyFont="1" applyFill="1" applyBorder="1"/>
    <xf numFmtId="10" fontId="9" fillId="0" borderId="0" xfId="0" applyNumberFormat="1" applyFont="1"/>
    <xf numFmtId="0" fontId="9" fillId="0" borderId="11" xfId="0" applyFont="1" applyBorder="1"/>
    <xf numFmtId="0" fontId="9" fillId="0" borderId="7" xfId="0" applyFont="1" applyBorder="1"/>
    <xf numFmtId="0" fontId="9" fillId="0" borderId="5" xfId="0" applyFont="1" applyBorder="1" applyAlignment="1">
      <alignment horizontal="center"/>
    </xf>
    <xf numFmtId="0" fontId="27" fillId="8" borderId="0" xfId="0" applyFont="1" applyFill="1"/>
    <xf numFmtId="0" fontId="27" fillId="9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left" vertical="center"/>
    </xf>
    <xf numFmtId="0" fontId="27" fillId="9" borderId="0" xfId="0" applyFont="1" applyFill="1"/>
    <xf numFmtId="0" fontId="27" fillId="9" borderId="0" xfId="0" applyFont="1" applyFill="1" applyAlignment="1">
      <alignment horizontal="center"/>
    </xf>
    <xf numFmtId="3" fontId="27" fillId="9" borderId="0" xfId="0" applyNumberFormat="1" applyFont="1" applyFill="1"/>
    <xf numFmtId="0" fontId="27" fillId="8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right"/>
    </xf>
    <xf numFmtId="0" fontId="9" fillId="0" borderId="23" xfId="0" applyFont="1" applyBorder="1"/>
    <xf numFmtId="0" fontId="2" fillId="0" borderId="0" xfId="0" applyFont="1"/>
    <xf numFmtId="37" fontId="9" fillId="0" borderId="2" xfId="0" applyNumberFormat="1" applyFont="1" applyBorder="1" applyAlignment="1">
      <alignment horizontal="center"/>
    </xf>
    <xf numFmtId="165" fontId="13" fillId="0" borderId="11" xfId="0" applyNumberFormat="1" applyFont="1" applyBorder="1" applyAlignment="1">
      <alignment vertical="center"/>
    </xf>
    <xf numFmtId="165" fontId="13" fillId="0" borderId="3" xfId="0" applyNumberFormat="1" applyFont="1" applyBorder="1" applyAlignment="1">
      <alignment vertical="center"/>
    </xf>
    <xf numFmtId="0" fontId="10" fillId="2" borderId="14" xfId="0" applyFont="1" applyFill="1" applyBorder="1"/>
    <xf numFmtId="37" fontId="10" fillId="2" borderId="15" xfId="0" applyNumberFormat="1" applyFont="1" applyFill="1" applyBorder="1"/>
    <xf numFmtId="37" fontId="10" fillId="2" borderId="16" xfId="1" applyNumberFormat="1" applyFont="1" applyFill="1" applyBorder="1"/>
    <xf numFmtId="165" fontId="10" fillId="10" borderId="16" xfId="0" applyNumberFormat="1" applyFont="1" applyFill="1" applyBorder="1"/>
    <xf numFmtId="0" fontId="10" fillId="0" borderId="3" xfId="0" applyFont="1" applyBorder="1" applyAlignment="1">
      <alignment horizontal="left"/>
    </xf>
    <xf numFmtId="37" fontId="9" fillId="0" borderId="0" xfId="0" applyNumberFormat="1" applyFont="1" applyAlignment="1">
      <alignment horizontal="center"/>
    </xf>
    <xf numFmtId="37" fontId="12" fillId="0" borderId="0" xfId="0" applyNumberFormat="1" applyFont="1"/>
    <xf numFmtId="0" fontId="13" fillId="0" borderId="3" xfId="0" applyFont="1" applyBorder="1"/>
    <xf numFmtId="0" fontId="13" fillId="0" borderId="6" xfId="0" applyFont="1" applyBorder="1"/>
    <xf numFmtId="9" fontId="9" fillId="0" borderId="0" xfId="1" applyFont="1"/>
    <xf numFmtId="167" fontId="9" fillId="0" borderId="0" xfId="0" applyNumberFormat="1" applyFont="1"/>
    <xf numFmtId="9" fontId="9" fillId="0" borderId="3" xfId="1" applyFont="1" applyFill="1" applyBorder="1"/>
    <xf numFmtId="0" fontId="10" fillId="2" borderId="27" xfId="0" applyFont="1" applyFill="1" applyBorder="1"/>
    <xf numFmtId="0" fontId="10" fillId="2" borderId="25" xfId="0" applyFont="1" applyFill="1" applyBorder="1" applyAlignment="1">
      <alignment horizontal="center"/>
    </xf>
    <xf numFmtId="165" fontId="10" fillId="2" borderId="25" xfId="0" applyNumberFormat="1" applyFont="1" applyFill="1" applyBorder="1"/>
    <xf numFmtId="0" fontId="10" fillId="2" borderId="27" xfId="0" applyFont="1" applyFill="1" applyBorder="1" applyAlignment="1">
      <alignment horizontal="center"/>
    </xf>
    <xf numFmtId="0" fontId="9" fillId="2" borderId="53" xfId="0" applyFont="1" applyFill="1" applyBorder="1"/>
    <xf numFmtId="0" fontId="9" fillId="2" borderId="27" xfId="0" applyFont="1" applyFill="1" applyBorder="1"/>
    <xf numFmtId="0" fontId="28" fillId="11" borderId="14" xfId="0" applyFont="1" applyFill="1" applyBorder="1"/>
    <xf numFmtId="0" fontId="29" fillId="11" borderId="13" xfId="0" applyFont="1" applyFill="1" applyBorder="1"/>
    <xf numFmtId="0" fontId="30" fillId="11" borderId="3" xfId="0" applyFont="1" applyFill="1" applyBorder="1"/>
    <xf numFmtId="10" fontId="30" fillId="11" borderId="2" xfId="0" applyNumberFormat="1" applyFont="1" applyFill="1" applyBorder="1"/>
    <xf numFmtId="37" fontId="9" fillId="0" borderId="8" xfId="0" applyNumberFormat="1" applyFont="1" applyBorder="1" applyAlignment="1">
      <alignment horizontal="center"/>
    </xf>
    <xf numFmtId="0" fontId="29" fillId="11" borderId="17" xfId="0" applyFont="1" applyFill="1" applyBorder="1"/>
    <xf numFmtId="10" fontId="30" fillId="11" borderId="16" xfId="0" applyNumberFormat="1" applyFont="1" applyFill="1" applyBorder="1"/>
    <xf numFmtId="0" fontId="10" fillId="0" borderId="10" xfId="0" applyFont="1" applyBorder="1"/>
    <xf numFmtId="3" fontId="10" fillId="0" borderId="0" xfId="0" applyNumberFormat="1" applyFont="1"/>
    <xf numFmtId="165" fontId="16" fillId="0" borderId="3" xfId="0" applyNumberFormat="1" applyFont="1" applyBorder="1" applyAlignment="1">
      <alignment vertical="center"/>
    </xf>
    <xf numFmtId="165" fontId="16" fillId="0" borderId="2" xfId="0" applyNumberFormat="1" applyFont="1" applyBorder="1" applyAlignment="1">
      <alignment vertical="center"/>
    </xf>
    <xf numFmtId="3" fontId="0" fillId="0" borderId="0" xfId="0" applyNumberFormat="1"/>
    <xf numFmtId="43" fontId="9" fillId="0" borderId="0" xfId="0" applyNumberFormat="1" applyFont="1"/>
    <xf numFmtId="165" fontId="9" fillId="0" borderId="0" xfId="0" applyNumberFormat="1" applyFont="1" applyAlignment="1">
      <alignment horizontal="right"/>
    </xf>
    <xf numFmtId="165" fontId="9" fillId="0" borderId="4" xfId="0" applyNumberFormat="1" applyFont="1" applyBorder="1" applyAlignment="1">
      <alignment horizontal="right"/>
    </xf>
    <xf numFmtId="37" fontId="9" fillId="0" borderId="22" xfId="0" applyNumberFormat="1" applyFont="1" applyBorder="1"/>
    <xf numFmtId="3" fontId="2" fillId="0" borderId="0" xfId="0" applyNumberFormat="1" applyFont="1"/>
    <xf numFmtId="37" fontId="9" fillId="0" borderId="54" xfId="0" applyNumberFormat="1" applyFont="1" applyBorder="1"/>
    <xf numFmtId="0" fontId="9" fillId="12" borderId="3" xfId="0" applyFont="1" applyFill="1" applyBorder="1"/>
    <xf numFmtId="167" fontId="9" fillId="0" borderId="0" xfId="16" applyNumberFormat="1" applyFont="1"/>
    <xf numFmtId="170" fontId="9" fillId="0" borderId="3" xfId="0" applyNumberFormat="1" applyFont="1" applyBorder="1"/>
    <xf numFmtId="9" fontId="9" fillId="0" borderId="0" xfId="1" applyFont="1" applyAlignment="1">
      <alignment horizontal="right"/>
    </xf>
    <xf numFmtId="0" fontId="10" fillId="3" borderId="3" xfId="0" applyFont="1" applyFill="1" applyBorder="1"/>
    <xf numFmtId="1" fontId="14" fillId="0" borderId="0" xfId="0" applyNumberFormat="1" applyFont="1"/>
    <xf numFmtId="9" fontId="14" fillId="0" borderId="0" xfId="1" applyFont="1"/>
    <xf numFmtId="37" fontId="9" fillId="0" borderId="6" xfId="0" applyNumberFormat="1" applyFont="1" applyBorder="1" applyAlignment="1">
      <alignment horizontal="center"/>
    </xf>
    <xf numFmtId="165" fontId="16" fillId="0" borderId="3" xfId="0" applyNumberFormat="1" applyFont="1" applyBorder="1"/>
    <xf numFmtId="165" fontId="16" fillId="0" borderId="2" xfId="0" applyNumberFormat="1" applyFont="1" applyBorder="1"/>
    <xf numFmtId="9" fontId="9" fillId="0" borderId="4" xfId="1" applyFont="1" applyBorder="1" applyAlignment="1">
      <alignment horizontal="right"/>
    </xf>
    <xf numFmtId="9" fontId="9" fillId="0" borderId="0" xfId="1" applyFont="1" applyFill="1"/>
    <xf numFmtId="39" fontId="9" fillId="0" borderId="4" xfId="0" applyNumberFormat="1" applyFont="1" applyBorder="1" applyAlignment="1">
      <alignment horizontal="center"/>
    </xf>
    <xf numFmtId="37" fontId="9" fillId="0" borderId="27" xfId="0" applyNumberFormat="1" applyFont="1" applyBorder="1"/>
    <xf numFmtId="0" fontId="10" fillId="3" borderId="14" xfId="0" applyFont="1" applyFill="1" applyBorder="1"/>
    <xf numFmtId="37" fontId="10" fillId="0" borderId="14" xfId="0" applyNumberFormat="1" applyFont="1" applyBorder="1"/>
    <xf numFmtId="37" fontId="10" fillId="0" borderId="12" xfId="0" applyNumberFormat="1" applyFont="1" applyBorder="1"/>
    <xf numFmtId="37" fontId="10" fillId="0" borderId="13" xfId="0" applyNumberFormat="1" applyFont="1" applyBorder="1"/>
    <xf numFmtId="165" fontId="10" fillId="0" borderId="14" xfId="0" applyNumberFormat="1" applyFont="1" applyBorder="1"/>
    <xf numFmtId="0" fontId="10" fillId="3" borderId="6" xfId="0" applyFont="1" applyFill="1" applyBorder="1"/>
    <xf numFmtId="39" fontId="10" fillId="3" borderId="4" xfId="0" applyNumberFormat="1" applyFont="1" applyFill="1" applyBorder="1" applyAlignment="1">
      <alignment horizontal="center"/>
    </xf>
    <xf numFmtId="39" fontId="10" fillId="0" borderId="4" xfId="0" applyNumberFormat="1" applyFont="1" applyBorder="1" applyAlignment="1">
      <alignment horizontal="center"/>
    </xf>
    <xf numFmtId="166" fontId="9" fillId="0" borderId="1" xfId="0" applyNumberFormat="1" applyFont="1" applyBorder="1"/>
    <xf numFmtId="0" fontId="10" fillId="3" borderId="10" xfId="0" applyFont="1" applyFill="1" applyBorder="1"/>
    <xf numFmtId="165" fontId="9" fillId="0" borderId="0" xfId="1" applyNumberFormat="1" applyFont="1"/>
    <xf numFmtId="165" fontId="9" fillId="0" borderId="0" xfId="1" applyNumberFormat="1" applyFont="1" applyFill="1"/>
    <xf numFmtId="165" fontId="10" fillId="0" borderId="11" xfId="0" applyNumberFormat="1" applyFont="1" applyBorder="1"/>
    <xf numFmtId="165" fontId="10" fillId="0" borderId="5" xfId="0" applyNumberFormat="1" applyFont="1" applyBorder="1"/>
    <xf numFmtId="165" fontId="9" fillId="0" borderId="11" xfId="0" applyNumberFormat="1" applyFont="1" applyBorder="1"/>
    <xf numFmtId="0" fontId="13" fillId="0" borderId="10" xfId="0" applyFont="1" applyBorder="1"/>
    <xf numFmtId="0" fontId="9" fillId="0" borderId="55" xfId="0" applyFont="1" applyBorder="1"/>
    <xf numFmtId="0" fontId="9" fillId="0" borderId="56" xfId="0" applyFont="1" applyBorder="1"/>
    <xf numFmtId="0" fontId="9" fillId="0" borderId="57" xfId="0" applyFont="1" applyBorder="1"/>
    <xf numFmtId="0" fontId="10" fillId="0" borderId="56" xfId="0" applyFont="1" applyBorder="1"/>
    <xf numFmtId="6" fontId="9" fillId="0" borderId="0" xfId="0" applyNumberFormat="1" applyFont="1"/>
    <xf numFmtId="0" fontId="9" fillId="0" borderId="58" xfId="0" applyFont="1" applyBorder="1"/>
    <xf numFmtId="0" fontId="31" fillId="13" borderId="0" xfId="0" applyFont="1" applyFill="1"/>
    <xf numFmtId="37" fontId="0" fillId="0" borderId="0" xfId="0" applyNumberFormat="1"/>
    <xf numFmtId="0" fontId="27" fillId="8" borderId="0" xfId="0" applyFont="1" applyFill="1" applyAlignment="1">
      <alignment vertical="center"/>
    </xf>
    <xf numFmtId="0" fontId="32" fillId="9" borderId="0" xfId="0" applyFont="1" applyFill="1" applyAlignment="1">
      <alignment horizontal="center" vertical="center"/>
    </xf>
    <xf numFmtId="0" fontId="27" fillId="9" borderId="0" xfId="0" applyFont="1" applyFill="1" applyAlignment="1">
      <alignment horizontal="right" vertical="center"/>
    </xf>
    <xf numFmtId="0" fontId="9" fillId="0" borderId="59" xfId="0" applyFont="1" applyBorder="1" applyAlignment="1">
      <alignment horizontal="left"/>
    </xf>
    <xf numFmtId="0" fontId="10" fillId="0" borderId="60" xfId="0" applyFont="1" applyBorder="1" applyAlignment="1">
      <alignment horizontal="center" vertical="center"/>
    </xf>
    <xf numFmtId="165" fontId="13" fillId="0" borderId="8" xfId="0" applyNumberFormat="1" applyFont="1" applyBorder="1"/>
    <xf numFmtId="0" fontId="16" fillId="2" borderId="6" xfId="0" applyFont="1" applyFill="1" applyBorder="1"/>
    <xf numFmtId="9" fontId="16" fillId="2" borderId="29" xfId="1" applyFont="1" applyFill="1" applyBorder="1"/>
    <xf numFmtId="165" fontId="16" fillId="2" borderId="8" xfId="0" applyNumberFormat="1" applyFont="1" applyFill="1" applyBorder="1"/>
    <xf numFmtId="0" fontId="16" fillId="0" borderId="3" xfId="0" applyFont="1" applyBorder="1"/>
    <xf numFmtId="165" fontId="13" fillId="0" borderId="9" xfId="0" applyNumberFormat="1" applyFont="1" applyBorder="1"/>
    <xf numFmtId="165" fontId="13" fillId="0" borderId="2" xfId="0" applyNumberFormat="1" applyFont="1" applyBorder="1"/>
    <xf numFmtId="37" fontId="13" fillId="0" borderId="64" xfId="0" applyNumberFormat="1" applyFont="1" applyBorder="1"/>
    <xf numFmtId="0" fontId="16" fillId="2" borderId="20" xfId="0" applyFont="1" applyFill="1" applyBorder="1"/>
    <xf numFmtId="165" fontId="13" fillId="0" borderId="4" xfId="1" applyNumberFormat="1" applyFont="1" applyBorder="1"/>
    <xf numFmtId="165" fontId="13" fillId="0" borderId="0" xfId="1" applyNumberFormat="1" applyFont="1"/>
    <xf numFmtId="9" fontId="12" fillId="0" borderId="0" xfId="0" applyNumberFormat="1" applyFont="1"/>
    <xf numFmtId="37" fontId="13" fillId="0" borderId="37" xfId="0" applyNumberFormat="1" applyFont="1" applyBorder="1"/>
    <xf numFmtId="3" fontId="16" fillId="2" borderId="18" xfId="0" applyNumberFormat="1" applyFont="1" applyFill="1" applyBorder="1" applyAlignment="1">
      <alignment horizontal="center"/>
    </xf>
    <xf numFmtId="165" fontId="16" fillId="2" borderId="19" xfId="0" applyNumberFormat="1" applyFont="1" applyFill="1" applyBorder="1"/>
    <xf numFmtId="0" fontId="8" fillId="3" borderId="0" xfId="0" applyFont="1" applyFill="1"/>
    <xf numFmtId="165" fontId="13" fillId="0" borderId="19" xfId="0" applyNumberFormat="1" applyFont="1" applyBorder="1"/>
    <xf numFmtId="1" fontId="16" fillId="0" borderId="0" xfId="0" applyNumberFormat="1" applyFont="1"/>
    <xf numFmtId="43" fontId="16" fillId="0" borderId="32" xfId="0" applyNumberFormat="1" applyFont="1" applyBorder="1"/>
    <xf numFmtId="0" fontId="16" fillId="3" borderId="10" xfId="0" applyFont="1" applyFill="1" applyBorder="1"/>
    <xf numFmtId="165" fontId="13" fillId="0" borderId="26" xfId="0" applyNumberFormat="1" applyFont="1" applyBorder="1"/>
    <xf numFmtId="165" fontId="16" fillId="2" borderId="16" xfId="0" applyNumberFormat="1" applyFont="1" applyFill="1" applyBorder="1"/>
    <xf numFmtId="0" fontId="33" fillId="0" borderId="0" xfId="0" applyFont="1"/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right"/>
    </xf>
    <xf numFmtId="37" fontId="16" fillId="2" borderId="65" xfId="0" applyNumberFormat="1" applyFont="1" applyFill="1" applyBorder="1"/>
    <xf numFmtId="37" fontId="16" fillId="2" borderId="60" xfId="0" applyNumberFormat="1" applyFont="1" applyFill="1" applyBorder="1"/>
    <xf numFmtId="165" fontId="16" fillId="2" borderId="63" xfId="0" applyNumberFormat="1" applyFont="1" applyFill="1" applyBorder="1"/>
    <xf numFmtId="0" fontId="8" fillId="0" borderId="3" xfId="0" applyFont="1" applyBorder="1"/>
    <xf numFmtId="37" fontId="8" fillId="0" borderId="31" xfId="0" applyNumberFormat="1" applyFont="1" applyBorder="1"/>
    <xf numFmtId="0" fontId="8" fillId="0" borderId="31" xfId="0" applyFont="1" applyBorder="1"/>
    <xf numFmtId="0" fontId="8" fillId="0" borderId="2" xfId="0" applyFont="1" applyBorder="1"/>
    <xf numFmtId="171" fontId="8" fillId="0" borderId="0" xfId="0" applyNumberFormat="1" applyFont="1" applyAlignment="1">
      <alignment horizontal="right"/>
    </xf>
    <xf numFmtId="10" fontId="0" fillId="0" borderId="0" xfId="0" applyNumberFormat="1"/>
    <xf numFmtId="43" fontId="8" fillId="0" borderId="0" xfId="16" applyFont="1"/>
    <xf numFmtId="43" fontId="0" fillId="0" borderId="0" xfId="0" applyNumberFormat="1"/>
    <xf numFmtId="17" fontId="8" fillId="0" borderId="0" xfId="0" applyNumberFormat="1" applyFont="1" applyAlignment="1">
      <alignment horizontal="right"/>
    </xf>
    <xf numFmtId="170" fontId="8" fillId="0" borderId="0" xfId="0" applyNumberFormat="1" applyFont="1"/>
    <xf numFmtId="0" fontId="34" fillId="0" borderId="0" xfId="0" applyFont="1"/>
    <xf numFmtId="0" fontId="35" fillId="0" borderId="0" xfId="0" applyFont="1"/>
    <xf numFmtId="3" fontId="8" fillId="0" borderId="0" xfId="0" applyNumberFormat="1" applyFont="1"/>
    <xf numFmtId="3" fontId="35" fillId="0" borderId="0" xfId="0" applyNumberFormat="1" applyFont="1"/>
    <xf numFmtId="6" fontId="8" fillId="0" borderId="0" xfId="0" applyNumberFormat="1" applyFont="1"/>
    <xf numFmtId="9" fontId="8" fillId="0" borderId="0" xfId="0" applyNumberFormat="1" applyFont="1"/>
    <xf numFmtId="0" fontId="8" fillId="0" borderId="0" xfId="0" quotePrefix="1" applyFont="1"/>
    <xf numFmtId="0" fontId="8" fillId="0" borderId="66" xfId="0" applyFont="1" applyBorder="1"/>
    <xf numFmtId="0" fontId="13" fillId="0" borderId="67" xfId="0" applyFont="1" applyBorder="1"/>
    <xf numFmtId="0" fontId="8" fillId="0" borderId="67" xfId="0" applyFont="1" applyBorder="1"/>
    <xf numFmtId="0" fontId="35" fillId="0" borderId="0" xfId="0" quotePrefix="1" applyFont="1"/>
    <xf numFmtId="0" fontId="8" fillId="14" borderId="0" xfId="0" applyFont="1" applyFill="1"/>
    <xf numFmtId="0" fontId="28" fillId="0" borderId="0" xfId="0" applyFont="1"/>
    <xf numFmtId="0" fontId="30" fillId="0" borderId="0" xfId="0" applyFont="1"/>
    <xf numFmtId="0" fontId="29" fillId="0" borderId="0" xfId="0" applyFont="1"/>
    <xf numFmtId="0" fontId="1" fillId="0" borderId="0" xfId="0" applyFont="1"/>
    <xf numFmtId="1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left"/>
    </xf>
    <xf numFmtId="1" fontId="35" fillId="0" borderId="0" xfId="0" applyNumberFormat="1" applyFont="1" applyAlignment="1">
      <alignment horizontal="right"/>
    </xf>
    <xf numFmtId="1" fontId="35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37" fontId="35" fillId="0" borderId="0" xfId="0" applyNumberFormat="1" applyFont="1"/>
    <xf numFmtId="0" fontId="36" fillId="0" borderId="0" xfId="0" applyFont="1"/>
    <xf numFmtId="39" fontId="9" fillId="0" borderId="0" xfId="0" applyNumberFormat="1" applyFont="1" applyAlignment="1">
      <alignment horizontal="center"/>
    </xf>
    <xf numFmtId="0" fontId="34" fillId="0" borderId="0" xfId="0" applyFont="1" applyAlignment="1">
      <alignment horizontal="center" vertical="center"/>
    </xf>
    <xf numFmtId="37" fontId="34" fillId="0" borderId="0" xfId="0" applyNumberFormat="1" applyFont="1"/>
    <xf numFmtId="165" fontId="8" fillId="0" borderId="0" xfId="0" applyNumberFormat="1" applyFont="1"/>
    <xf numFmtId="165" fontId="34" fillId="0" borderId="0" xfId="0" applyNumberFormat="1" applyFont="1"/>
    <xf numFmtId="0" fontId="34" fillId="0" borderId="0" xfId="0" applyFont="1" applyAlignment="1">
      <alignment horizontal="center"/>
    </xf>
    <xf numFmtId="37" fontId="37" fillId="0" borderId="0" xfId="0" applyNumberFormat="1" applyFont="1"/>
    <xf numFmtId="37" fontId="37" fillId="0" borderId="4" xfId="0" applyNumberFormat="1" applyFont="1" applyBorder="1"/>
    <xf numFmtId="3" fontId="38" fillId="0" borderId="3" xfId="0" applyNumberFormat="1" applyFont="1" applyBorder="1"/>
    <xf numFmtId="37" fontId="38" fillId="0" borderId="0" xfId="0" applyNumberFormat="1" applyFont="1"/>
    <xf numFmtId="37" fontId="38" fillId="0" borderId="2" xfId="0" applyNumberFormat="1" applyFont="1" applyBorder="1"/>
    <xf numFmtId="0" fontId="19" fillId="6" borderId="39" xfId="0" applyFont="1" applyFill="1" applyBorder="1" applyAlignment="1">
      <alignment horizontal="center" vertical="center"/>
    </xf>
    <xf numFmtId="0" fontId="19" fillId="7" borderId="39" xfId="0" applyFon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 vertical="center"/>
    </xf>
    <xf numFmtId="0" fontId="19" fillId="4" borderId="39" xfId="0" applyFont="1" applyFill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1" fillId="0" borderId="60" xfId="0" applyFont="1" applyBorder="1"/>
    <xf numFmtId="0" fontId="11" fillId="0" borderId="63" xfId="0" applyFont="1" applyBorder="1"/>
    <xf numFmtId="0" fontId="10" fillId="0" borderId="60" xfId="0" applyFont="1" applyBorder="1" applyAlignment="1">
      <alignment horizontal="center" vertical="center"/>
    </xf>
    <xf numFmtId="0" fontId="11" fillId="0" borderId="61" xfId="0" applyFont="1" applyBorder="1"/>
    <xf numFmtId="0" fontId="10" fillId="0" borderId="23" xfId="0" applyFont="1" applyBorder="1" applyAlignment="1">
      <alignment horizontal="center"/>
    </xf>
    <xf numFmtId="0" fontId="11" fillId="0" borderId="24" xfId="0" applyFont="1" applyBorder="1"/>
    <xf numFmtId="0" fontId="10" fillId="0" borderId="52" xfId="0" applyFont="1" applyBorder="1" applyAlignment="1">
      <alignment horizontal="center"/>
    </xf>
    <xf numFmtId="0" fontId="11" fillId="0" borderId="52" xfId="0" applyFont="1" applyBorder="1"/>
    <xf numFmtId="0" fontId="10" fillId="0" borderId="24" xfId="0" applyFont="1" applyBorder="1" applyAlignment="1">
      <alignment horizontal="center"/>
    </xf>
    <xf numFmtId="0" fontId="27" fillId="15" borderId="0" xfId="0" applyFont="1" applyFill="1"/>
    <xf numFmtId="0" fontId="27" fillId="15" borderId="0" xfId="0" applyFont="1" applyFill="1" applyAlignment="1">
      <alignment horizontal="center" vertical="center"/>
    </xf>
    <xf numFmtId="0" fontId="25" fillId="15" borderId="0" xfId="0" applyFont="1" applyFill="1" applyAlignment="1">
      <alignment horizontal="left" vertical="center"/>
    </xf>
    <xf numFmtId="0" fontId="27" fillId="15" borderId="0" xfId="0" applyFont="1" applyFill="1" applyAlignment="1">
      <alignment horizontal="center"/>
    </xf>
    <xf numFmtId="3" fontId="27" fillId="15" borderId="0" xfId="0" applyNumberFormat="1" applyFont="1" applyFill="1"/>
    <xf numFmtId="0" fontId="27" fillId="15" borderId="0" xfId="0" applyFont="1" applyFill="1" applyAlignment="1">
      <alignment horizontal="right"/>
    </xf>
    <xf numFmtId="37" fontId="10" fillId="2" borderId="16" xfId="0" applyNumberFormat="1" applyFont="1" applyFill="1" applyBorder="1"/>
    <xf numFmtId="0" fontId="9" fillId="16" borderId="3" xfId="0" applyFont="1" applyFill="1" applyBorder="1"/>
    <xf numFmtId="172" fontId="9" fillId="0" borderId="3" xfId="0" applyNumberFormat="1" applyFont="1" applyBorder="1"/>
    <xf numFmtId="9" fontId="9" fillId="0" borderId="0" xfId="0" applyNumberFormat="1" applyFont="1" applyAlignment="1">
      <alignment horizontal="right"/>
    </xf>
    <xf numFmtId="9" fontId="9" fillId="0" borderId="3" xfId="0" applyNumberFormat="1" applyFont="1" applyBorder="1"/>
    <xf numFmtId="9" fontId="14" fillId="0" borderId="0" xfId="0" applyNumberFormat="1" applyFont="1"/>
    <xf numFmtId="9" fontId="9" fillId="0" borderId="4" xfId="0" applyNumberFormat="1" applyFont="1" applyBorder="1" applyAlignment="1">
      <alignment horizontal="right"/>
    </xf>
    <xf numFmtId="9" fontId="9" fillId="0" borderId="0" xfId="0" applyNumberFormat="1" applyFont="1"/>
    <xf numFmtId="165" fontId="13" fillId="0" borderId="6" xfId="0" applyNumberFormat="1" applyFont="1" applyBorder="1" applyAlignment="1">
      <alignment vertical="center"/>
    </xf>
    <xf numFmtId="165" fontId="10" fillId="0" borderId="6" xfId="0" applyNumberFormat="1" applyFont="1" applyBorder="1"/>
    <xf numFmtId="0" fontId="9" fillId="0" borderId="68" xfId="0" applyFont="1" applyBorder="1"/>
    <xf numFmtId="0" fontId="9" fillId="0" borderId="69" xfId="0" applyFont="1" applyBorder="1"/>
    <xf numFmtId="0" fontId="9" fillId="0" borderId="70" xfId="0" applyFont="1" applyBorder="1"/>
    <xf numFmtId="0" fontId="10" fillId="0" borderId="69" xfId="0" applyFont="1" applyBorder="1"/>
    <xf numFmtId="0" fontId="27" fillId="15" borderId="0" xfId="0" applyFont="1" applyFill="1" applyAlignment="1">
      <alignment vertical="center"/>
    </xf>
    <xf numFmtId="0" fontId="32" fillId="15" borderId="0" xfId="0" applyFont="1" applyFill="1" applyAlignment="1">
      <alignment horizontal="center" vertical="center"/>
    </xf>
    <xf numFmtId="0" fontId="27" fillId="15" borderId="0" xfId="0" applyFont="1" applyFill="1" applyAlignment="1">
      <alignment horizontal="right" vertical="center"/>
    </xf>
    <xf numFmtId="9" fontId="16" fillId="2" borderId="29" xfId="0" applyNumberFormat="1" applyFont="1" applyFill="1" applyBorder="1"/>
    <xf numFmtId="10" fontId="16" fillId="2" borderId="29" xfId="0" applyNumberFormat="1" applyFont="1" applyFill="1" applyBorder="1"/>
    <xf numFmtId="0" fontId="8" fillId="17" borderId="0" xfId="0" applyFont="1" applyFill="1"/>
    <xf numFmtId="0" fontId="8" fillId="0" borderId="71" xfId="0" applyFont="1" applyBorder="1"/>
    <xf numFmtId="0" fontId="8" fillId="0" borderId="32" xfId="0" applyFont="1" applyBorder="1"/>
    <xf numFmtId="10" fontId="12" fillId="0" borderId="0" xfId="0" applyNumberFormat="1" applyFont="1"/>
    <xf numFmtId="43" fontId="12" fillId="0" borderId="0" xfId="0" applyNumberFormat="1" applyFont="1"/>
    <xf numFmtId="172" fontId="8" fillId="0" borderId="0" xfId="0" applyNumberFormat="1" applyFont="1"/>
  </cellXfs>
  <cellStyles count="17">
    <cellStyle name="Milliers" xfId="16" builtinId="3"/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847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4" sqref="C4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204</v>
      </c>
      <c r="C3" s="234" t="s">
        <v>520</v>
      </c>
      <c r="P3" s="235"/>
      <c r="Q3" s="236"/>
    </row>
    <row r="5" spans="1:17" s="214" customFormat="1" ht="16.5" customHeight="1"/>
    <row r="6" spans="1:17" s="214" customFormat="1" ht="16.5" customHeight="1">
      <c r="B6" s="415" t="s">
        <v>196</v>
      </c>
      <c r="C6" s="415"/>
      <c r="D6" s="415"/>
      <c r="E6" s="415"/>
      <c r="F6" s="416" t="s">
        <v>197</v>
      </c>
      <c r="G6" s="416"/>
      <c r="H6" s="416"/>
      <c r="I6" s="416"/>
      <c r="J6" s="417" t="s">
        <v>198</v>
      </c>
      <c r="K6" s="417"/>
      <c r="L6" s="417"/>
      <c r="M6" s="417"/>
      <c r="N6" s="418" t="s">
        <v>199</v>
      </c>
      <c r="O6" s="418"/>
      <c r="P6" s="418"/>
      <c r="Q6" s="418"/>
    </row>
    <row r="7" spans="1:17" s="214" customFormat="1" ht="16.5" customHeight="1">
      <c r="A7"/>
      <c r="B7" s="221" t="s">
        <v>189</v>
      </c>
      <c r="C7" s="221" t="s">
        <v>190</v>
      </c>
      <c r="D7" s="221" t="s">
        <v>191</v>
      </c>
      <c r="E7" s="221" t="s">
        <v>192</v>
      </c>
      <c r="F7" s="222" t="s">
        <v>189</v>
      </c>
      <c r="G7" s="222" t="s">
        <v>190</v>
      </c>
      <c r="H7" s="222" t="s">
        <v>191</v>
      </c>
      <c r="I7" s="222" t="s">
        <v>192</v>
      </c>
      <c r="J7" s="233" t="s">
        <v>189</v>
      </c>
      <c r="K7" s="233" t="s">
        <v>190</v>
      </c>
      <c r="L7" s="233" t="s">
        <v>191</v>
      </c>
      <c r="M7" s="233" t="s">
        <v>192</v>
      </c>
      <c r="N7" s="223" t="s">
        <v>189</v>
      </c>
      <c r="O7" s="223" t="s">
        <v>190</v>
      </c>
      <c r="P7" s="223" t="s">
        <v>191</v>
      </c>
      <c r="Q7" s="223" t="s">
        <v>192</v>
      </c>
    </row>
    <row r="8" spans="1:17" s="214" customFormat="1" ht="16.5" customHeight="1">
      <c r="A8" s="213" t="s">
        <v>195</v>
      </c>
      <c r="B8" s="224">
        <f t="shared" ref="B8:Q8" si="0">+B9-B10</f>
        <v>0</v>
      </c>
      <c r="C8" s="224">
        <f t="shared" si="0"/>
        <v>0</v>
      </c>
      <c r="D8" s="224">
        <f t="shared" si="0"/>
        <v>0</v>
      </c>
      <c r="E8" s="224" t="e">
        <f t="shared" si="0"/>
        <v>#N/A</v>
      </c>
      <c r="F8" s="224">
        <f t="shared" si="0"/>
        <v>0</v>
      </c>
      <c r="G8" s="224">
        <f t="shared" si="0"/>
        <v>0</v>
      </c>
      <c r="H8" s="224">
        <f t="shared" si="0"/>
        <v>0</v>
      </c>
      <c r="I8" s="224">
        <f t="shared" si="0"/>
        <v>0</v>
      </c>
      <c r="J8" s="229">
        <f t="shared" si="0"/>
        <v>0</v>
      </c>
      <c r="K8" s="229">
        <f t="shared" si="0"/>
        <v>0</v>
      </c>
      <c r="L8" s="229">
        <f t="shared" si="0"/>
        <v>0</v>
      </c>
      <c r="M8" s="229">
        <f t="shared" si="0"/>
        <v>0</v>
      </c>
      <c r="N8" s="224">
        <f t="shared" si="0"/>
        <v>0</v>
      </c>
      <c r="O8" s="224">
        <f t="shared" si="0"/>
        <v>0</v>
      </c>
      <c r="P8" s="224">
        <f t="shared" si="0"/>
        <v>0</v>
      </c>
      <c r="Q8" s="224">
        <f t="shared" si="0"/>
        <v>0</v>
      </c>
    </row>
    <row r="9" spans="1:17" s="214" customFormat="1" ht="16.5" customHeight="1">
      <c r="A9" s="215" t="s">
        <v>193</v>
      </c>
      <c r="B9" s="217">
        <f>+Conso!$Z$406</f>
        <v>0</v>
      </c>
      <c r="C9" s="217">
        <f>+Conso!$Z$407</f>
        <v>0</v>
      </c>
      <c r="D9" s="217">
        <f>+Conso!$Z$483</f>
        <v>0</v>
      </c>
      <c r="E9" s="217" t="e">
        <f>+Conso!$Z$498</f>
        <v>#N/A</v>
      </c>
      <c r="F9" s="217">
        <f>+Conso!$AC$406</f>
        <v>0</v>
      </c>
      <c r="G9" s="217">
        <f>+Conso!$AC$407</f>
        <v>0</v>
      </c>
      <c r="H9" s="217">
        <f>+Conso!$AC$483</f>
        <v>0</v>
      </c>
      <c r="I9" s="217">
        <f>+Conso!$AC$498</f>
        <v>0</v>
      </c>
      <c r="J9" s="217">
        <f>+Conso!$AF$406</f>
        <v>0</v>
      </c>
      <c r="K9" s="217">
        <f>+Conso!$AF$407</f>
        <v>0</v>
      </c>
      <c r="L9" s="217">
        <f>+Conso!$AF$483</f>
        <v>0</v>
      </c>
      <c r="M9" s="217">
        <f>+Conso!$AF$498</f>
        <v>79425.5</v>
      </c>
      <c r="N9" s="217">
        <f>+Conso!$AL$406</f>
        <v>0</v>
      </c>
      <c r="O9" s="217">
        <f>+Conso!$AL$407</f>
        <v>0</v>
      </c>
      <c r="P9" s="217">
        <f>+Conso!$AL$483</f>
        <v>0</v>
      </c>
      <c r="Q9" s="217">
        <f>+Conso!$AL$498</f>
        <v>-68069.87</v>
      </c>
    </row>
    <row r="10" spans="1:17" s="214" customFormat="1" ht="16.5" customHeight="1">
      <c r="A10" s="216" t="s">
        <v>194</v>
      </c>
      <c r="B10" s="228">
        <f>+SUM(B11:B13)</f>
        <v>0</v>
      </c>
      <c r="C10" s="228">
        <f t="shared" ref="C10:Q10" si="1">+SUM(C11:C13)</f>
        <v>0</v>
      </c>
      <c r="D10" s="228">
        <f t="shared" si="1"/>
        <v>0</v>
      </c>
      <c r="E10" s="228" t="e">
        <f t="shared" si="1"/>
        <v>#N/A</v>
      </c>
      <c r="F10" s="228">
        <f t="shared" si="1"/>
        <v>0</v>
      </c>
      <c r="G10" s="228">
        <f t="shared" si="1"/>
        <v>0</v>
      </c>
      <c r="H10" s="228">
        <f t="shared" si="1"/>
        <v>0</v>
      </c>
      <c r="I10" s="228">
        <f t="shared" si="1"/>
        <v>0</v>
      </c>
      <c r="J10" s="228">
        <f t="shared" si="1"/>
        <v>0</v>
      </c>
      <c r="K10" s="228">
        <f t="shared" si="1"/>
        <v>0</v>
      </c>
      <c r="L10" s="228">
        <f t="shared" si="1"/>
        <v>0</v>
      </c>
      <c r="M10" s="228">
        <f t="shared" si="1"/>
        <v>79425.5</v>
      </c>
      <c r="N10" s="228">
        <f t="shared" si="1"/>
        <v>0</v>
      </c>
      <c r="O10" s="228">
        <f t="shared" si="1"/>
        <v>0</v>
      </c>
      <c r="P10" s="228">
        <f t="shared" si="1"/>
        <v>0</v>
      </c>
      <c r="Q10" s="228">
        <f t="shared" si="1"/>
        <v>-68069.87</v>
      </c>
    </row>
    <row r="11" spans="1:17" s="214" customFormat="1" ht="16.5" customHeight="1">
      <c r="A11" s="225" t="s">
        <v>201</v>
      </c>
      <c r="B11" s="218">
        <f>+'Mois 1'!$Z$406</f>
        <v>0</v>
      </c>
      <c r="C11" s="218">
        <f>+'Mois 1'!$Z$407</f>
        <v>0</v>
      </c>
      <c r="D11" s="218">
        <f>+'Mois 1'!$Z$483</f>
        <v>0</v>
      </c>
      <c r="E11" s="218">
        <f>+'Mois 1'!$Z$498</f>
        <v>0</v>
      </c>
      <c r="F11" s="218">
        <f>+'Mois 1'!$AC$406</f>
        <v>0</v>
      </c>
      <c r="G11" s="218">
        <f>+'Mois 1'!$AC$407</f>
        <v>0</v>
      </c>
      <c r="H11" s="218">
        <f>+'Mois 1'!$AC$483</f>
        <v>0</v>
      </c>
      <c r="I11" s="218">
        <f>+'Mois 1'!$AC$498</f>
        <v>0</v>
      </c>
      <c r="J11" s="230">
        <f>+'Mois 1'!$AF$406</f>
        <v>0</v>
      </c>
      <c r="K11" s="230">
        <f>+'Mois 1'!$AF$407</f>
        <v>0</v>
      </c>
      <c r="L11" s="230">
        <f>+'Mois 1'!$AF$483</f>
        <v>0</v>
      </c>
      <c r="M11" s="230">
        <f>+'Mois 1'!$AF$498</f>
        <v>54212.21</v>
      </c>
      <c r="N11" s="218">
        <f>+'Mois 1'!$AL$406</f>
        <v>0</v>
      </c>
      <c r="O11" s="218">
        <f>+'Mois 1'!$AL$407</f>
        <v>0</v>
      </c>
      <c r="P11" s="218">
        <f>+'Mois 1'!$AL$483</f>
        <v>0</v>
      </c>
      <c r="Q11" s="218">
        <f>+'Mois 1'!$AL$498</f>
        <v>-39608.479999999996</v>
      </c>
    </row>
    <row r="12" spans="1:17" s="214" customFormat="1" ht="16.5" customHeight="1">
      <c r="A12" s="226" t="s">
        <v>202</v>
      </c>
      <c r="B12" s="219">
        <f>+'Mois 2'!$Z$406</f>
        <v>0</v>
      </c>
      <c r="C12" s="219">
        <f>+'Mois 2'!$Z$407</f>
        <v>0</v>
      </c>
      <c r="D12" s="219">
        <f>+'Mois 2'!$Z$483</f>
        <v>0</v>
      </c>
      <c r="E12" s="219" t="e">
        <f>+'Mois 2'!$Z$498</f>
        <v>#N/A</v>
      </c>
      <c r="F12" s="219">
        <f>+'Mois 2'!$AC$406</f>
        <v>0</v>
      </c>
      <c r="G12" s="219">
        <f>+'Mois 2'!$AC$407</f>
        <v>0</v>
      </c>
      <c r="H12" s="219">
        <f>+'Mois 2'!$AC$483</f>
        <v>0</v>
      </c>
      <c r="I12" s="219">
        <f>+'Mois 2'!$AC$498</f>
        <v>0</v>
      </c>
      <c r="J12" s="231">
        <f>+'Mois 2'!$AF$406</f>
        <v>0</v>
      </c>
      <c r="K12" s="231">
        <f>+'Mois 2'!$AF$407</f>
        <v>0</v>
      </c>
      <c r="L12" s="231">
        <f>+'Mois 2'!$AF$483</f>
        <v>0</v>
      </c>
      <c r="M12" s="231">
        <f>+'Mois 2'!$AF$498</f>
        <v>-2581.4399999999805</v>
      </c>
      <c r="N12" s="219">
        <f>+'Mois 2'!$AL$406</f>
        <v>0</v>
      </c>
      <c r="O12" s="219">
        <f>+'Mois 2'!$AL$407</f>
        <v>0</v>
      </c>
      <c r="P12" s="219">
        <f>+'Mois 2'!$AL$483</f>
        <v>0</v>
      </c>
      <c r="Q12" s="219">
        <f>+'Mois 2'!$AL$498</f>
        <v>-22956.370000000003</v>
      </c>
    </row>
    <row r="13" spans="1:17">
      <c r="A13" s="227" t="s">
        <v>203</v>
      </c>
      <c r="B13" s="220">
        <f>+'Mois 3'!$Z$406</f>
        <v>0</v>
      </c>
      <c r="C13" s="220">
        <f>+'Mois 3'!$Z$407</f>
        <v>0</v>
      </c>
      <c r="D13" s="220">
        <f>+'Mois 3'!$Z$483</f>
        <v>0</v>
      </c>
      <c r="E13" s="220">
        <f>+'Mois 3'!$Z$498</f>
        <v>0</v>
      </c>
      <c r="F13" s="220">
        <f>+'Mois 3'!$AC$406</f>
        <v>0</v>
      </c>
      <c r="G13" s="220">
        <f>+'Mois 3'!$AC$407</f>
        <v>0</v>
      </c>
      <c r="H13" s="220">
        <f>+'Mois 3'!$AC$483</f>
        <v>0</v>
      </c>
      <c r="I13" s="220">
        <f>+'Mois 3'!$AC$498</f>
        <v>0</v>
      </c>
      <c r="J13" s="232">
        <f>+'Mois 3'!$AF$406</f>
        <v>0</v>
      </c>
      <c r="K13" s="232">
        <f>+'Mois 3'!$AF$407</f>
        <v>0</v>
      </c>
      <c r="L13" s="232">
        <f>+'Mois 3'!$AF$483</f>
        <v>0</v>
      </c>
      <c r="M13" s="232">
        <f>+'Mois 3'!$AF$498</f>
        <v>27794.729999999974</v>
      </c>
      <c r="N13" s="220">
        <f>+'Mois 3'!$AL$406</f>
        <v>0</v>
      </c>
      <c r="O13" s="220">
        <f>+'Mois 3'!$AL$407</f>
        <v>0</v>
      </c>
      <c r="P13" s="220">
        <f>+'Mois 3'!$AL$483</f>
        <v>0</v>
      </c>
      <c r="Q13" s="220">
        <f>+'Mois 3'!$AL$498</f>
        <v>-5505.0199999999977</v>
      </c>
    </row>
  </sheetData>
  <mergeCells count="4">
    <mergeCell ref="B6:E6"/>
    <mergeCell ref="F6:I6"/>
    <mergeCell ref="J6:M6"/>
    <mergeCell ref="N6:Q6"/>
  </mergeCells>
  <phoneticPr fontId="2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80"/>
  <sheetViews>
    <sheetView tabSelected="1" zoomScale="70" zoomScaleNormal="70" workbookViewId="0">
      <selection activeCell="AD23" sqref="AD23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1" max="21" width="12.25" bestFit="1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218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tr">
        <f>CONCATENATE("Réalisé"," ",Paramètre!$C$2," ",Paramètre!$C$3)</f>
        <v>Réalisé  Q3 2026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 t="s">
        <v>2</v>
      </c>
      <c r="H2" s="5" t="s">
        <v>3</v>
      </c>
      <c r="I2" s="5" t="s">
        <v>4</v>
      </c>
      <c r="J2" s="5"/>
      <c r="K2" s="5"/>
      <c r="L2" s="5"/>
      <c r="M2" s="6"/>
      <c r="N2" s="6"/>
      <c r="O2" s="5"/>
      <c r="P2" s="5"/>
      <c r="Q2" s="5"/>
      <c r="R2" s="6"/>
      <c r="S2" s="6"/>
      <c r="T2" s="6"/>
      <c r="U2" s="6"/>
      <c r="V2" s="393"/>
      <c r="W2" s="283"/>
    </row>
    <row r="3" spans="1:40" ht="21" thickTop="1">
      <c r="B3" s="7"/>
      <c r="C3" s="259"/>
      <c r="D3" s="426" t="s">
        <v>5</v>
      </c>
      <c r="E3" s="427"/>
      <c r="F3" s="425"/>
      <c r="G3" s="424" t="s">
        <v>6</v>
      </c>
      <c r="H3" s="427"/>
      <c r="I3" s="425"/>
      <c r="J3" s="424" t="s">
        <v>7</v>
      </c>
      <c r="K3" s="427"/>
      <c r="L3" s="425"/>
      <c r="M3" s="424" t="s">
        <v>210</v>
      </c>
      <c r="N3" s="425"/>
      <c r="O3" s="426" t="s">
        <v>8</v>
      </c>
      <c r="P3" s="427"/>
      <c r="Q3" s="425"/>
      <c r="R3" s="424" t="s">
        <v>211</v>
      </c>
      <c r="S3" s="425"/>
      <c r="T3" s="7"/>
      <c r="U3" s="7"/>
      <c r="V3" s="394"/>
      <c r="W3" s="285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 t="s">
        <v>10</v>
      </c>
      <c r="H4" s="9" t="s">
        <v>11</v>
      </c>
      <c r="I4" s="10" t="s">
        <v>12</v>
      </c>
      <c r="J4" s="11" t="s">
        <v>10</v>
      </c>
      <c r="K4" s="9" t="s">
        <v>13</v>
      </c>
      <c r="L4" s="10" t="s">
        <v>12</v>
      </c>
      <c r="M4" s="11" t="s">
        <v>212</v>
      </c>
      <c r="N4" s="10" t="s">
        <v>12</v>
      </c>
      <c r="O4" s="11" t="s">
        <v>10</v>
      </c>
      <c r="P4" s="9" t="s">
        <v>13</v>
      </c>
      <c r="Q4" s="10" t="s">
        <v>12</v>
      </c>
      <c r="R4" s="11" t="s">
        <v>10</v>
      </c>
      <c r="S4" s="10" t="s">
        <v>12</v>
      </c>
      <c r="T4" s="7"/>
      <c r="U4" s="7"/>
      <c r="V4" s="394"/>
      <c r="W4" s="2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60" t="str">
        <f>+B5&amp;C5</f>
        <v>Véhicules neufsVentes nettes</v>
      </c>
      <c r="B5" s="7" t="str">
        <f t="shared" ref="B5:B85" si="0">+$K$1</f>
        <v>Véhicules neufs</v>
      </c>
      <c r="C5" s="14" t="s">
        <v>14</v>
      </c>
      <c r="D5" s="12"/>
      <c r="E5" s="12"/>
      <c r="F5" s="31" t="e">
        <f>+SUM(START:END!F5)</f>
        <v>#N/A</v>
      </c>
      <c r="G5" s="12"/>
      <c r="H5" s="12"/>
      <c r="I5" s="15">
        <f>+SUM(START:END!I5)</f>
        <v>0</v>
      </c>
      <c r="J5" s="14"/>
      <c r="K5" s="30"/>
      <c r="L5" s="61">
        <f>+SUM(START:END!L5)</f>
        <v>20559481.140000001</v>
      </c>
      <c r="M5" s="17"/>
      <c r="N5" s="18"/>
      <c r="O5" s="14"/>
      <c r="P5" s="30"/>
      <c r="Q5" s="61">
        <f>+SUM(START:END!Q5)</f>
        <v>28344573.730000012</v>
      </c>
      <c r="R5" s="17"/>
      <c r="S5" s="286"/>
      <c r="T5" s="7"/>
      <c r="U5" s="7"/>
      <c r="V5" s="394"/>
      <c r="W5" s="2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60" t="str">
        <f t="shared" ref="A6:A85" si="1">+B6&amp;C6</f>
        <v>Véhicules neufsAutos détail</v>
      </c>
      <c r="B6" s="7" t="str">
        <f t="shared" si="0"/>
        <v>Véhicules neufs</v>
      </c>
      <c r="C6" s="26" t="s">
        <v>15</v>
      </c>
      <c r="D6" s="19" t="e">
        <f>+SUM(START:END!D6)</f>
        <v>#N/A</v>
      </c>
      <c r="E6" s="19" t="e">
        <f>IF(D6=0,0,F6/D6)</f>
        <v>#N/A</v>
      </c>
      <c r="F6" s="19" t="e">
        <f>+SUM(START:END!F6)</f>
        <v>#N/A</v>
      </c>
      <c r="G6" s="20">
        <f>+SUM(START:END!G6)</f>
        <v>0</v>
      </c>
      <c r="H6" s="19">
        <f>IF(G6=0,0,I6/G6)</f>
        <v>0</v>
      </c>
      <c r="I6" s="19">
        <f>+SUM(START:END!I6)</f>
        <v>0</v>
      </c>
      <c r="J6" s="20">
        <f>+SUM(START:END!J6)</f>
        <v>2</v>
      </c>
      <c r="K6" s="55">
        <f>IF(J6=0,0,L6/J6)</f>
        <v>6531.679999999993</v>
      </c>
      <c r="L6" s="39">
        <f>+SUM(START:END!L6)</f>
        <v>13063.359999999986</v>
      </c>
      <c r="M6" s="20" t="e">
        <f t="shared" ref="M6:M12" si="2">J6-D6</f>
        <v>#N/A</v>
      </c>
      <c r="N6" s="21" t="e">
        <f t="shared" ref="N6:N12" si="3">L6-F6</f>
        <v>#N/A</v>
      </c>
      <c r="O6" s="20">
        <f>+SUM(START:END!O6)</f>
        <v>2</v>
      </c>
      <c r="P6" s="55">
        <f>IF(O6=0,0,Q6/O6)</f>
        <v>5561</v>
      </c>
      <c r="Q6" s="39">
        <f>+SUM(START:END!Q6)</f>
        <v>11122</v>
      </c>
      <c r="R6" s="20">
        <f>J6-O6</f>
        <v>0</v>
      </c>
      <c r="S6" s="39">
        <f>L6-Q6</f>
        <v>1941.359999999986</v>
      </c>
      <c r="T6" s="7"/>
      <c r="U6" s="7"/>
      <c r="V6" s="394"/>
      <c r="W6" s="2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60" t="str">
        <f t="shared" si="1"/>
        <v>Véhicules neufsCamions détail</v>
      </c>
      <c r="B7" s="7" t="str">
        <f t="shared" si="0"/>
        <v>Véhicules neufs</v>
      </c>
      <c r="C7" s="26" t="s">
        <v>16</v>
      </c>
      <c r="D7" s="19" t="e">
        <f>+SUM(START:END!D7)</f>
        <v>#N/A</v>
      </c>
      <c r="E7" s="19" t="e">
        <f t="shared" ref="E7:E12" si="4">IF(D7=0,0,F7/D7)</f>
        <v>#N/A</v>
      </c>
      <c r="F7" s="19" t="e">
        <f>+SUM(START:END!F7)</f>
        <v>#N/A</v>
      </c>
      <c r="G7" s="20">
        <f>+SUM(START:END!G7)</f>
        <v>0</v>
      </c>
      <c r="H7" s="19">
        <f t="shared" ref="H7:H12" si="5">IF(G7=0,0,I7/G7)</f>
        <v>0</v>
      </c>
      <c r="I7" s="19">
        <f>+SUM(START:END!I7)</f>
        <v>0</v>
      </c>
      <c r="J7" s="20">
        <f>+SUM(START:END!J7)</f>
        <v>88</v>
      </c>
      <c r="K7" s="55">
        <f t="shared" ref="K7:K12" si="6">IF(J7=0,0,L7/J7)</f>
        <v>2402.4967045454569</v>
      </c>
      <c r="L7" s="39">
        <f>+SUM(START:END!L7)</f>
        <v>211419.7100000002</v>
      </c>
      <c r="M7" s="20" t="e">
        <f t="shared" si="2"/>
        <v>#N/A</v>
      </c>
      <c r="N7" s="21" t="e">
        <f t="shared" si="3"/>
        <v>#N/A</v>
      </c>
      <c r="O7" s="20">
        <f>+SUM(START:END!O7)</f>
        <v>164</v>
      </c>
      <c r="P7" s="55">
        <f t="shared" ref="P7:P12" si="7">IF(O7=0,0,Q7/O7)</f>
        <v>2885.1216463414735</v>
      </c>
      <c r="Q7" s="39">
        <f>+SUM(START:END!Q7)</f>
        <v>473159.95000000164</v>
      </c>
      <c r="R7" s="20">
        <f t="shared" ref="R7:R12" si="8">J7-O7</f>
        <v>-76</v>
      </c>
      <c r="S7" s="39">
        <f t="shared" ref="S7:S12" si="9">L7-Q7</f>
        <v>-261740.24000000145</v>
      </c>
      <c r="T7" s="7"/>
      <c r="U7" s="7"/>
      <c r="V7" s="394"/>
      <c r="W7" s="285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tr">
        <f t="shared" si="1"/>
        <v>Véhicules neufsSprinter</v>
      </c>
      <c r="B8" s="7" t="str">
        <f t="shared" si="0"/>
        <v>Véhicules neufs</v>
      </c>
      <c r="C8" s="26" t="s">
        <v>17</v>
      </c>
      <c r="D8" s="19" t="e">
        <f>+SUM(START:END!D8)</f>
        <v>#N/A</v>
      </c>
      <c r="E8" s="19" t="e">
        <f t="shared" si="4"/>
        <v>#N/A</v>
      </c>
      <c r="F8" s="19" t="e">
        <f>+SUM(START:END!F8)</f>
        <v>#N/A</v>
      </c>
      <c r="G8" s="20">
        <f>+SUM(START:END!G8)</f>
        <v>0</v>
      </c>
      <c r="H8" s="19">
        <f t="shared" si="5"/>
        <v>0</v>
      </c>
      <c r="I8" s="19">
        <f>+SUM(START:END!I8)</f>
        <v>0</v>
      </c>
      <c r="J8" s="20">
        <f>+SUM(START:END!J8)</f>
        <v>0</v>
      </c>
      <c r="K8" s="55">
        <f t="shared" si="6"/>
        <v>0</v>
      </c>
      <c r="L8" s="39">
        <f>+SUM(START:END!L8)</f>
        <v>0</v>
      </c>
      <c r="M8" s="20" t="e">
        <f t="shared" si="2"/>
        <v>#N/A</v>
      </c>
      <c r="N8" s="21" t="e">
        <f t="shared" si="3"/>
        <v>#N/A</v>
      </c>
      <c r="O8" s="20">
        <f>+SUM(START:END!O8)</f>
        <v>0</v>
      </c>
      <c r="P8" s="55">
        <f t="shared" si="7"/>
        <v>0</v>
      </c>
      <c r="Q8" s="39">
        <f>+SUM(START:END!Q8)</f>
        <v>0</v>
      </c>
      <c r="R8" s="20">
        <f t="shared" si="8"/>
        <v>0</v>
      </c>
      <c r="S8" s="39">
        <f t="shared" si="9"/>
        <v>0</v>
      </c>
      <c r="T8" s="7"/>
      <c r="U8" s="7"/>
      <c r="V8" s="395"/>
      <c r="W8" s="288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tr">
        <f t="shared" si="1"/>
        <v>Véhicules neufsMoto détail</v>
      </c>
      <c r="B9" s="7" t="str">
        <f t="shared" si="0"/>
        <v>Véhicules neufs</v>
      </c>
      <c r="C9" s="26" t="s">
        <v>18</v>
      </c>
      <c r="D9" s="19" t="e">
        <f>+SUM(START:END!D9)</f>
        <v>#N/A</v>
      </c>
      <c r="E9" s="19" t="e">
        <f t="shared" si="4"/>
        <v>#N/A</v>
      </c>
      <c r="F9" s="19" t="e">
        <f>+SUM(START:END!F9)</f>
        <v>#N/A</v>
      </c>
      <c r="G9" s="20">
        <f>+SUM(START:END!G9)</f>
        <v>0</v>
      </c>
      <c r="H9" s="19">
        <f t="shared" si="5"/>
        <v>0</v>
      </c>
      <c r="I9" s="19">
        <f>+SUM(START:END!I9)</f>
        <v>0</v>
      </c>
      <c r="J9" s="20">
        <f>+SUM(START:END!J9)</f>
        <v>96</v>
      </c>
      <c r="K9" s="55">
        <f t="shared" si="6"/>
        <v>1377.6127083333386</v>
      </c>
      <c r="L9" s="39">
        <f>+SUM(START:END!L9)</f>
        <v>132250.8200000005</v>
      </c>
      <c r="M9" s="20" t="e">
        <f t="shared" si="2"/>
        <v>#N/A</v>
      </c>
      <c r="N9" s="21" t="e">
        <f t="shared" si="3"/>
        <v>#N/A</v>
      </c>
      <c r="O9" s="20">
        <f>+SUM(START:END!O9)</f>
        <v>53</v>
      </c>
      <c r="P9" s="55">
        <f t="shared" si="7"/>
        <v>1144.1613207547048</v>
      </c>
      <c r="Q9" s="39">
        <f>+SUM(START:END!Q9)</f>
        <v>60640.549999999348</v>
      </c>
      <c r="R9" s="20">
        <f t="shared" si="8"/>
        <v>43</v>
      </c>
      <c r="S9" s="39">
        <f t="shared" si="9"/>
        <v>71610.270000001154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260" t="str">
        <f t="shared" si="1"/>
        <v>Véhicules neufs[...]</v>
      </c>
      <c r="B10" s="7" t="str">
        <f t="shared" si="0"/>
        <v>Véhicules neufs</v>
      </c>
      <c r="C10" s="26" t="s">
        <v>19</v>
      </c>
      <c r="D10" s="19" t="e">
        <f>+SUM(START:END!D10)</f>
        <v>#N/A</v>
      </c>
      <c r="E10" s="19" t="e">
        <f t="shared" si="4"/>
        <v>#N/A</v>
      </c>
      <c r="F10" s="19" t="e">
        <f>+SUM(START:END!F10)</f>
        <v>#N/A</v>
      </c>
      <c r="G10" s="20">
        <f>+SUM(START:END!G10)</f>
        <v>0</v>
      </c>
      <c r="H10" s="19">
        <f t="shared" si="5"/>
        <v>0</v>
      </c>
      <c r="I10" s="19">
        <f>+SUM(START:END!I10)</f>
        <v>0</v>
      </c>
      <c r="J10" s="20">
        <f>+SUM(START:END!J10)</f>
        <v>0</v>
      </c>
      <c r="K10" s="55">
        <f t="shared" si="6"/>
        <v>0</v>
      </c>
      <c r="L10" s="39">
        <f>+SUM(START:END!L10)</f>
        <v>0</v>
      </c>
      <c r="M10" s="20" t="e">
        <f t="shared" si="2"/>
        <v>#N/A</v>
      </c>
      <c r="N10" s="21" t="e">
        <f t="shared" si="3"/>
        <v>#N/A</v>
      </c>
      <c r="O10" s="20">
        <f>+SUM(START:END!O10)</f>
        <v>0</v>
      </c>
      <c r="P10" s="55">
        <f t="shared" si="7"/>
        <v>0</v>
      </c>
      <c r="Q10" s="39">
        <f>+SUM(START:END!Q10)</f>
        <v>0</v>
      </c>
      <c r="R10" s="20">
        <f t="shared" si="8"/>
        <v>0</v>
      </c>
      <c r="S10" s="39">
        <f t="shared" si="9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260" t="str">
        <f t="shared" si="1"/>
        <v>Véhicules neufs[...]</v>
      </c>
      <c r="B11" s="7" t="str">
        <f t="shared" si="0"/>
        <v>Véhicules neufs</v>
      </c>
      <c r="C11" s="26" t="s">
        <v>19</v>
      </c>
      <c r="D11" s="19" t="e">
        <f>+SUM(START:END!D11)</f>
        <v>#N/A</v>
      </c>
      <c r="E11" s="19" t="e">
        <f t="shared" si="4"/>
        <v>#N/A</v>
      </c>
      <c r="F11" s="19" t="e">
        <f>+SUM(START:END!F11)</f>
        <v>#N/A</v>
      </c>
      <c r="G11" s="20">
        <f>+SUM(START:END!G11)</f>
        <v>0</v>
      </c>
      <c r="H11" s="19">
        <f t="shared" si="5"/>
        <v>0</v>
      </c>
      <c r="I11" s="19">
        <f>+SUM(START:END!I11)</f>
        <v>0</v>
      </c>
      <c r="J11" s="20">
        <f>+SUM(START:END!J11)</f>
        <v>0</v>
      </c>
      <c r="K11" s="55">
        <f t="shared" si="6"/>
        <v>0</v>
      </c>
      <c r="L11" s="39">
        <f>+SUM(START:END!L11)</f>
        <v>0</v>
      </c>
      <c r="M11" s="20" t="e">
        <f t="shared" si="2"/>
        <v>#N/A</v>
      </c>
      <c r="N11" s="21" t="e">
        <f t="shared" si="3"/>
        <v>#N/A</v>
      </c>
      <c r="O11" s="20">
        <f>+SUM(START:END!O11)</f>
        <v>0</v>
      </c>
      <c r="P11" s="55">
        <f t="shared" si="7"/>
        <v>0</v>
      </c>
      <c r="Q11" s="39">
        <f>+SUM(START:END!Q11)</f>
        <v>0</v>
      </c>
      <c r="R11" s="20">
        <f t="shared" si="8"/>
        <v>0</v>
      </c>
      <c r="S11" s="39">
        <f t="shared" si="9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260" t="str">
        <f t="shared" si="1"/>
        <v>Véhicules neufs[...]</v>
      </c>
      <c r="B12" s="7" t="str">
        <f t="shared" si="0"/>
        <v>Véhicules neufs</v>
      </c>
      <c r="C12" s="26" t="s">
        <v>19</v>
      </c>
      <c r="D12" s="19" t="e">
        <f>+SUM(START:END!D12)</f>
        <v>#N/A</v>
      </c>
      <c r="E12" s="19" t="e">
        <f t="shared" si="4"/>
        <v>#N/A</v>
      </c>
      <c r="F12" s="19" t="e">
        <f>+SUM(START:END!F12)</f>
        <v>#N/A</v>
      </c>
      <c r="G12" s="20">
        <f>+SUM(START:END!G12)</f>
        <v>0</v>
      </c>
      <c r="H12" s="19">
        <f t="shared" si="5"/>
        <v>0</v>
      </c>
      <c r="I12" s="19">
        <f>+SUM(START:END!I12)</f>
        <v>0</v>
      </c>
      <c r="J12" s="20">
        <f>+SUM(START:END!J12)</f>
        <v>0</v>
      </c>
      <c r="K12" s="55">
        <f t="shared" si="6"/>
        <v>0</v>
      </c>
      <c r="L12" s="39">
        <f>+SUM(START:END!L12)</f>
        <v>0</v>
      </c>
      <c r="M12" s="20" t="e">
        <f t="shared" si="2"/>
        <v>#N/A</v>
      </c>
      <c r="N12" s="21" t="e">
        <f t="shared" si="3"/>
        <v>#N/A</v>
      </c>
      <c r="O12" s="20">
        <f>+SUM(START:END!O12)</f>
        <v>0</v>
      </c>
      <c r="P12" s="55">
        <f t="shared" si="7"/>
        <v>0</v>
      </c>
      <c r="Q12" s="39">
        <f>+SUM(START:END!Q12)</f>
        <v>0</v>
      </c>
      <c r="R12" s="20">
        <f t="shared" si="8"/>
        <v>0</v>
      </c>
      <c r="S12" s="39">
        <f t="shared" si="9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60" t="str">
        <f t="shared" si="1"/>
        <v>Véhicules neufsTotal Neufs</v>
      </c>
      <c r="B13" s="7" t="str">
        <f t="shared" si="0"/>
        <v>Véhicules neufs</v>
      </c>
      <c r="C13" s="289" t="s">
        <v>20</v>
      </c>
      <c r="D13" s="22" t="e">
        <f>+SUM(D6:D12)</f>
        <v>#N/A</v>
      </c>
      <c r="E13" s="22" t="e">
        <f>IF(D13&lt;=0,0,F13/D13)</f>
        <v>#N/A</v>
      </c>
      <c r="F13" s="23" t="e">
        <f>+SUM(F6:F12)</f>
        <v>#N/A</v>
      </c>
      <c r="G13" s="24">
        <f>+SUM(G6:G12)</f>
        <v>0</v>
      </c>
      <c r="H13" s="22">
        <f>IF(G13&lt;=0,0,I13/G13)</f>
        <v>0</v>
      </c>
      <c r="I13" s="23">
        <f>+SUM(I6:I12)</f>
        <v>0</v>
      </c>
      <c r="J13" s="24">
        <f>+SUM(J6:J12)</f>
        <v>186</v>
      </c>
      <c r="K13" s="122">
        <f>IF(J13&lt;=0,0,L13/J13)</f>
        <v>1917.9241397849501</v>
      </c>
      <c r="L13" s="123">
        <f>+SUM(L6:L12)</f>
        <v>356733.89000000071</v>
      </c>
      <c r="M13" s="24" t="e">
        <f>+SUM(M6:M12)</f>
        <v>#N/A</v>
      </c>
      <c r="N13" s="23" t="e">
        <f>+SUM(N6:N12)</f>
        <v>#N/A</v>
      </c>
      <c r="O13" s="24">
        <f>+SUM(O6:O12)</f>
        <v>219</v>
      </c>
      <c r="P13" s="122">
        <f>IF(O13&lt;=0,0,Q13/O13)</f>
        <v>2488.2305936073103</v>
      </c>
      <c r="Q13" s="123">
        <f>+SUM(Q6:Q12)</f>
        <v>544922.50000000093</v>
      </c>
      <c r="R13" s="24">
        <f>+SUM(R6:R12)</f>
        <v>-33</v>
      </c>
      <c r="S13" s="123">
        <f>+SUM(S6:S12)</f>
        <v>-188188.61000000031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60" t="str">
        <f t="shared" si="1"/>
        <v>Véhicules neufs</v>
      </c>
      <c r="B14" s="7" t="str">
        <f t="shared" si="0"/>
        <v>Véhicules neufs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 t="e">
        <f>IF(D13=0,0,M13/D13)</f>
        <v>#N/A</v>
      </c>
      <c r="N14" s="292" t="e">
        <f>IF(F13=0,0,N13/F13)</f>
        <v>#N/A</v>
      </c>
      <c r="O14" s="52"/>
      <c r="P14" s="74"/>
      <c r="Q14" s="112"/>
      <c r="R14" s="291">
        <f>R13/O13</f>
        <v>-0.15068493150684931</v>
      </c>
      <c r="S14" s="28">
        <f>IF(Q13=0,0,(S13/Q13))</f>
        <v>-0.34534931114057499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60" t="str">
        <f t="shared" si="1"/>
        <v>Véhicules neufsEx-Démos et courtoisies</v>
      </c>
      <c r="B15" s="7" t="str">
        <f t="shared" si="0"/>
        <v>Véhicules neufs</v>
      </c>
      <c r="C15" s="113" t="s">
        <v>21</v>
      </c>
      <c r="D15" s="33" t="e">
        <f>+SUM(START:END!D15)</f>
        <v>#N/A</v>
      </c>
      <c r="E15" s="33" t="e">
        <f>IF(D15=0,0,F15/D15)</f>
        <v>#N/A</v>
      </c>
      <c r="F15" s="90" t="e">
        <f>+SUM(START:END!F15)</f>
        <v>#N/A</v>
      </c>
      <c r="G15" s="32">
        <f>+SUM(START:END!G15)</f>
        <v>0</v>
      </c>
      <c r="H15" s="33">
        <f>IF(G15=0,0,I15/G15)</f>
        <v>0</v>
      </c>
      <c r="I15" s="90">
        <f>+SUM(START:END!I15)</f>
        <v>0</v>
      </c>
      <c r="J15" s="34">
        <f>+SUM(START:END!J15)</f>
        <v>0</v>
      </c>
      <c r="K15" s="58">
        <f>IF(J15=0,0,L15/J15)</f>
        <v>0</v>
      </c>
      <c r="L15" s="58">
        <f>+SUM(START:END!L15)</f>
        <v>0</v>
      </c>
      <c r="M15" s="34" t="e">
        <f>J15-D15</f>
        <v>#N/A</v>
      </c>
      <c r="N15" s="31" t="e">
        <f>L15-F15</f>
        <v>#N/A</v>
      </c>
      <c r="O15" s="34">
        <f>+SUM(START:END!O15)</f>
        <v>0</v>
      </c>
      <c r="P15" s="58">
        <f>IF(O15=0,0,Q15/O15)</f>
        <v>0</v>
      </c>
      <c r="Q15" s="58">
        <f>+SUM(START:END!Q15)</f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60" t="str">
        <f t="shared" si="1"/>
        <v>Véhicules neufs</v>
      </c>
      <c r="B16" s="7" t="str">
        <f t="shared" si="0"/>
        <v>Véhicules neufs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60" t="str">
        <f t="shared" si="1"/>
        <v>Véhicules neufsFlottes</v>
      </c>
      <c r="B17" s="7" t="str">
        <f t="shared" si="0"/>
        <v>Véhicules neufs</v>
      </c>
      <c r="C17" s="52" t="s">
        <v>22</v>
      </c>
      <c r="D17" s="290" t="e">
        <f>+SUM(START:END!D17)</f>
        <v>#N/A</v>
      </c>
      <c r="E17" s="290" t="e">
        <f>IF(D17=0,0,F17/D17)</f>
        <v>#N/A</v>
      </c>
      <c r="F17" s="290" t="e">
        <f>+SUM(START:END!F17)</f>
        <v>#N/A</v>
      </c>
      <c r="G17" s="38">
        <f>+SUM(START:END!G17)</f>
        <v>0</v>
      </c>
      <c r="H17" s="290">
        <f>IF(G17=0,0,I17/G17)</f>
        <v>0</v>
      </c>
      <c r="I17" s="290">
        <f>+SUM(START:END!I17)</f>
        <v>0</v>
      </c>
      <c r="J17" s="34">
        <f>+SUM(START:END!J17)</f>
        <v>143</v>
      </c>
      <c r="K17" s="55">
        <f>IF(J17=0,0,L17/J17)</f>
        <v>607.78048951053745</v>
      </c>
      <c r="L17" s="39">
        <f>+SUM(START:END!L17)</f>
        <v>86912.610000006855</v>
      </c>
      <c r="M17" s="34" t="e">
        <f>J17-D17</f>
        <v>#N/A</v>
      </c>
      <c r="N17" s="21" t="e">
        <f>L17-F17</f>
        <v>#N/A</v>
      </c>
      <c r="O17" s="34">
        <f>+SUM(START:END!O17)</f>
        <v>229</v>
      </c>
      <c r="P17" s="55">
        <f>IF(O17=0,0,Q17/O17)</f>
        <v>627.69668122276858</v>
      </c>
      <c r="Q17" s="39">
        <f>+SUM(START:END!Q17)</f>
        <v>143742.54000001401</v>
      </c>
      <c r="R17" s="20">
        <f>J17-O17</f>
        <v>-86</v>
      </c>
      <c r="S17" s="39">
        <f>L17-Q17</f>
        <v>-56829.930000007153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60" t="str">
        <f t="shared" si="1"/>
        <v>Véhicules neufs</v>
      </c>
      <c r="B18" s="7" t="str">
        <f t="shared" si="0"/>
        <v>Véhicules neufs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60" t="str">
        <f t="shared" si="1"/>
        <v>Véhicules neufsRachat bail</v>
      </c>
      <c r="B19" s="7" t="str">
        <f t="shared" si="0"/>
        <v>Véhicules neufs</v>
      </c>
      <c r="C19" s="113" t="s">
        <v>23</v>
      </c>
      <c r="D19" s="19"/>
      <c r="E19" s="19"/>
      <c r="F19" s="19">
        <f>+SUM(START:END!F19)</f>
        <v>0</v>
      </c>
      <c r="G19" s="20"/>
      <c r="H19" s="19"/>
      <c r="I19" s="19">
        <f>+SUM(START:END!I19)</f>
        <v>0</v>
      </c>
      <c r="J19" s="34"/>
      <c r="K19" s="55"/>
      <c r="L19" s="39">
        <f>+SUM(START:END!L19)</f>
        <v>0</v>
      </c>
      <c r="M19" s="20"/>
      <c r="N19" s="21">
        <f>L19-F19</f>
        <v>0</v>
      </c>
      <c r="O19" s="34"/>
      <c r="P19" s="55"/>
      <c r="Q19" s="39">
        <f>+SUM(START:END!Q19)</f>
        <v>0</v>
      </c>
      <c r="R19" s="20">
        <f>O19-K19</f>
        <v>0</v>
      </c>
      <c r="S19" s="39">
        <f>L19-Q19</f>
        <v>0</v>
      </c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60" t="str">
        <f t="shared" si="1"/>
        <v>Véhicules neufs</v>
      </c>
      <c r="B20" s="7" t="str">
        <f t="shared" si="0"/>
        <v>Véhicules neufs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tr">
        <f t="shared" si="1"/>
        <v>Véhicules neufsRev. Finances</v>
      </c>
      <c r="B21" s="7" t="str">
        <f t="shared" si="0"/>
        <v>Véhicules neufs</v>
      </c>
      <c r="C21" s="26" t="s">
        <v>24</v>
      </c>
      <c r="D21" s="19">
        <v>0</v>
      </c>
      <c r="E21" s="19">
        <f>IF(D21=0,0,F21/D21)</f>
        <v>0</v>
      </c>
      <c r="F21" s="19" t="e">
        <f>+SUM(START:END!F21)</f>
        <v>#N/A</v>
      </c>
      <c r="G21" s="20">
        <v>0</v>
      </c>
      <c r="H21" s="19">
        <f>IF(G21=0,0,I21/G21)</f>
        <v>0</v>
      </c>
      <c r="I21" s="19">
        <f>+SUM(START:END!I21)</f>
        <v>0</v>
      </c>
      <c r="J21" s="20"/>
      <c r="K21" s="55">
        <f>IF(J13=0,0,L21/(J13+J15))</f>
        <v>-1.7697849462365607</v>
      </c>
      <c r="L21" s="39">
        <f>+SUM(START:END!L21)</f>
        <v>-329.18000000000029</v>
      </c>
      <c r="M21" s="20"/>
      <c r="N21" s="21" t="e">
        <f>L21-F21</f>
        <v>#N/A</v>
      </c>
      <c r="O21" s="20"/>
      <c r="P21" s="55">
        <f>IF(O13=0,0,Q21/(O13+O15))</f>
        <v>8.0162557077625554</v>
      </c>
      <c r="Q21" s="39">
        <f>+SUM(START:END!Q21)</f>
        <v>1755.5599999999995</v>
      </c>
      <c r="R21" s="40">
        <f>O21-K21</f>
        <v>1.7697849462365607</v>
      </c>
      <c r="S21" s="39">
        <f>L21-Q21</f>
        <v>-2084.7399999999998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tr">
        <f t="shared" si="1"/>
        <v>Véhicules neufsRev. Protections</v>
      </c>
      <c r="B22" s="7" t="str">
        <f t="shared" si="0"/>
        <v>Véhicules neufs</v>
      </c>
      <c r="C22" s="26" t="s">
        <v>25</v>
      </c>
      <c r="D22" s="19">
        <v>0</v>
      </c>
      <c r="E22" s="19">
        <f>IF(D22=0,0,F22/D22)</f>
        <v>0</v>
      </c>
      <c r="F22" s="19" t="e">
        <f>+SUM(START:END!F22)</f>
        <v>#N/A</v>
      </c>
      <c r="G22" s="20">
        <v>0</v>
      </c>
      <c r="H22" s="19">
        <f>IF(G22=0,0,I22/G22)</f>
        <v>0</v>
      </c>
      <c r="I22" s="19">
        <f>+SUM(START:END!I22)</f>
        <v>0</v>
      </c>
      <c r="J22" s="20"/>
      <c r="K22" s="55">
        <f>IF(J13=0,0,L22/(J13+J15))</f>
        <v>559.97274193548355</v>
      </c>
      <c r="L22" s="39">
        <f>+SUM(START:END!L22)</f>
        <v>104154.92999999995</v>
      </c>
      <c r="M22" s="20"/>
      <c r="N22" s="21" t="e">
        <f>L22-F22</f>
        <v>#N/A</v>
      </c>
      <c r="O22" s="20"/>
      <c r="P22" s="55">
        <f>IF(O13=0,0,Q22/(O13+O15))</f>
        <v>689.24917808219197</v>
      </c>
      <c r="Q22" s="39">
        <f>+SUM(START:END!Q22)</f>
        <v>150945.57000000004</v>
      </c>
      <c r="R22" s="40">
        <f>O22-K22</f>
        <v>-559.97274193548355</v>
      </c>
      <c r="S22" s="39">
        <f>L22-Q22</f>
        <v>-46790.640000000087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tr">
        <f t="shared" si="1"/>
        <v>Véhicules neufsRev. Autres</v>
      </c>
      <c r="B23" s="7" t="str">
        <f t="shared" si="0"/>
        <v>Véhicules neufs</v>
      </c>
      <c r="C23" s="26" t="s">
        <v>26</v>
      </c>
      <c r="D23" s="19">
        <v>0</v>
      </c>
      <c r="E23" s="19">
        <f>IF(D23=0,0,F23/D23)</f>
        <v>0</v>
      </c>
      <c r="F23" s="19" t="e">
        <f>+SUM(START:END!F23)</f>
        <v>#N/A</v>
      </c>
      <c r="G23" s="20">
        <v>0</v>
      </c>
      <c r="H23" s="19">
        <f>IF(G23=0,0,I23/G23)</f>
        <v>0</v>
      </c>
      <c r="I23" s="19">
        <f>+SUM(START:END!I23)</f>
        <v>0</v>
      </c>
      <c r="J23" s="20"/>
      <c r="K23" s="55">
        <f>IF(J13=0,0,L23/(J13+J15))</f>
        <v>55.863655913978491</v>
      </c>
      <c r="L23" s="39">
        <f>+SUM(START:END!L23)</f>
        <v>10390.64</v>
      </c>
      <c r="M23" s="34"/>
      <c r="N23" s="21" t="e">
        <f>L23-F23</f>
        <v>#N/A</v>
      </c>
      <c r="O23" s="20"/>
      <c r="P23" s="55">
        <f>IF(O13=0,0,Q23/(O13+O15))</f>
        <v>123.58146118721461</v>
      </c>
      <c r="Q23" s="39">
        <f>+SUM(START:END!Q23)</f>
        <v>27064.34</v>
      </c>
      <c r="R23" s="40">
        <f>O23-K23</f>
        <v>-55.863655913978491</v>
      </c>
      <c r="S23" s="39">
        <f>L23-Q23</f>
        <v>-16673.7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tr">
        <f t="shared" si="1"/>
        <v>Véhicules neufsTotal F&amp;I</v>
      </c>
      <c r="B24" s="7" t="str">
        <f t="shared" si="0"/>
        <v>Véhicules neufs</v>
      </c>
      <c r="C24" s="289" t="s">
        <v>27</v>
      </c>
      <c r="D24" s="22" t="e">
        <f>+D15+D13</f>
        <v>#N/A</v>
      </c>
      <c r="E24" s="22" t="e">
        <f>IF(D24&lt;=0,0,F24/D24)</f>
        <v>#N/A</v>
      </c>
      <c r="F24" s="23" t="e">
        <f>F21+F22+F23</f>
        <v>#N/A</v>
      </c>
      <c r="G24" s="24">
        <f>+G15+G13</f>
        <v>0</v>
      </c>
      <c r="H24" s="22">
        <f>IF(G24&lt;=0,0,I24/G24)</f>
        <v>0</v>
      </c>
      <c r="I24" s="23">
        <f>I21+I22+I23</f>
        <v>0</v>
      </c>
      <c r="J24" s="24">
        <f>+J15+J13</f>
        <v>186</v>
      </c>
      <c r="K24" s="122">
        <f>IF(J24&lt;=0,0,L24/J24)</f>
        <v>614.06661290322552</v>
      </c>
      <c r="L24" s="123">
        <f>L21+L22+L23</f>
        <v>114216.38999999994</v>
      </c>
      <c r="M24" s="38" t="e">
        <f>J24-D24</f>
        <v>#N/A</v>
      </c>
      <c r="N24" s="23" t="e">
        <f>L24-F24</f>
        <v>#N/A</v>
      </c>
      <c r="O24" s="24">
        <f>+O15+O13</f>
        <v>219</v>
      </c>
      <c r="P24" s="122">
        <f>IF(O24&lt;=0,0,Q24/O24)</f>
        <v>820.84689497716909</v>
      </c>
      <c r="Q24" s="123">
        <f>Q21+Q22+Q23</f>
        <v>179765.47000000003</v>
      </c>
      <c r="R24" s="106"/>
      <c r="S24" s="123">
        <f>L24-Q24</f>
        <v>-65549.080000000089</v>
      </c>
      <c r="T24" s="7"/>
      <c r="U24" s="19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tr">
        <f t="shared" si="1"/>
        <v>Véhicules neufs</v>
      </c>
      <c r="B25" s="7" t="str">
        <f t="shared" si="0"/>
        <v>Véhicules neufs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#N/A</v>
      </c>
      <c r="O25" s="26"/>
      <c r="P25" s="55"/>
      <c r="Q25" s="39"/>
      <c r="R25" s="40"/>
      <c r="S25" s="28">
        <f>IF(Q24=0,0,(S24/Q24))</f>
        <v>-0.36463665686185492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tr">
        <f t="shared" si="1"/>
        <v>Véhicules neufs</v>
      </c>
      <c r="B26" s="7" t="str">
        <f t="shared" si="0"/>
        <v>Véhicules neufs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tr">
        <f t="shared" si="1"/>
        <v>Véhicules neufsTotal Dépt. Neufs</v>
      </c>
      <c r="B27" s="7" t="str">
        <f t="shared" si="0"/>
        <v>Véhicules neufs</v>
      </c>
      <c r="C27" s="264" t="s">
        <v>28</v>
      </c>
      <c r="D27" s="41" t="e">
        <f>+D13+D15+D17</f>
        <v>#N/A</v>
      </c>
      <c r="E27" s="42" t="e">
        <f>IF(D27&lt;=0,0,F27/D27)</f>
        <v>#N/A</v>
      </c>
      <c r="F27" s="43" t="e">
        <f>F13+F17+F24+F19+F15</f>
        <v>#N/A</v>
      </c>
      <c r="G27" s="44">
        <f>+G13+G15+G17</f>
        <v>0</v>
      </c>
      <c r="H27" s="42">
        <f>IF(G27&lt;=0,0,I27/G27)</f>
        <v>0</v>
      </c>
      <c r="I27" s="43">
        <f>I13+I17+I24+I19+I15</f>
        <v>0</v>
      </c>
      <c r="J27" s="44">
        <f>+J13+J15+J17</f>
        <v>329</v>
      </c>
      <c r="K27" s="41">
        <f>IF(J27&lt;=0,0,L27/J27)</f>
        <v>1695.631884498503</v>
      </c>
      <c r="L27" s="43">
        <f>L13+L17+L24+L19+L15</f>
        <v>557862.89000000746</v>
      </c>
      <c r="M27" s="44" t="e">
        <f>J27-D27</f>
        <v>#N/A</v>
      </c>
      <c r="N27" s="43" t="e">
        <f>L27-F27</f>
        <v>#N/A</v>
      </c>
      <c r="O27" s="44">
        <f>+O13+O15+O17</f>
        <v>448</v>
      </c>
      <c r="P27" s="41">
        <f>IF(O27&lt;=0,0,Q27/O27)</f>
        <v>1938.4609598214618</v>
      </c>
      <c r="Q27" s="43">
        <f>Q13+Q17+Q24+Q19+Q15</f>
        <v>868430.51000001491</v>
      </c>
      <c r="R27" s="44">
        <f>J27-O27</f>
        <v>-119</v>
      </c>
      <c r="S27" s="43">
        <f>L27-Q27</f>
        <v>-310567.62000000745</v>
      </c>
      <c r="T27" s="7"/>
      <c r="U27" s="55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tr">
        <f t="shared" si="1"/>
        <v>Véhicules neufs</v>
      </c>
      <c r="B28" s="7" t="str">
        <f t="shared" si="0"/>
        <v>Véhicules neufs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 t="e">
        <f>M27/D27</f>
        <v>#N/A</v>
      </c>
      <c r="N28" s="49" t="e">
        <f>N27/F27</f>
        <v>#N/A</v>
      </c>
      <c r="O28" s="47"/>
      <c r="P28" s="265"/>
      <c r="Q28" s="266"/>
      <c r="R28" s="48">
        <f>R27/O27</f>
        <v>-0.265625</v>
      </c>
      <c r="S28" s="267">
        <f>IF(Q27=0,0,S27/Q27)</f>
        <v>-0.35761942541609015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tr">
        <f t="shared" si="1"/>
        <v>Véhicules neufs</v>
      </c>
      <c r="B29" s="7" t="str">
        <f t="shared" si="0"/>
        <v>Véhicules neufs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tr">
        <f t="shared" si="1"/>
        <v>Véhicules neufsDEPENSES</v>
      </c>
      <c r="B30" s="7" t="str">
        <f t="shared" si="0"/>
        <v>Véhicules neufs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20.25">
      <c r="A31" s="260" t="str">
        <f t="shared" si="1"/>
        <v>Véhicules neufsComm. vendeurs</v>
      </c>
      <c r="B31" s="7" t="str">
        <f t="shared" si="0"/>
        <v>Véhicules neufs</v>
      </c>
      <c r="C31" s="26" t="s">
        <v>30</v>
      </c>
      <c r="D31" s="295" t="e">
        <f>F31/(F13+F15)</f>
        <v>#N/A</v>
      </c>
      <c r="E31" s="55" t="e">
        <f t="shared" ref="E31:E40" si="10">F31/D$24</f>
        <v>#N/A</v>
      </c>
      <c r="F31" s="19" t="e">
        <f>+SUM(START:END!F31)</f>
        <v>#N/A</v>
      </c>
      <c r="G31" s="99"/>
      <c r="H31" s="55" t="e">
        <f t="shared" ref="H31:H40" si="11">I31/G$24</f>
        <v>#DIV/0!</v>
      </c>
      <c r="I31" s="19">
        <f>+SUM(START:END!I31)</f>
        <v>0</v>
      </c>
      <c r="J31" s="99">
        <f>L31/(L13+L15)</f>
        <v>0.3566161039535653</v>
      </c>
      <c r="K31" s="55">
        <f t="shared" ref="K31:K40" si="12">IF(L31=0,0,L31/J$24)</f>
        <v>683.96263440860207</v>
      </c>
      <c r="L31" s="39">
        <f>+SUM(START:END!L31)</f>
        <v>127217.04999999999</v>
      </c>
      <c r="M31" s="26"/>
      <c r="N31" s="39" t="e">
        <f t="shared" ref="N31:N53" si="13">L31-F31</f>
        <v>#N/A</v>
      </c>
      <c r="O31" s="99">
        <f>Q31/(Q13+Q15+Q17)</f>
        <v>0.2494981595116201</v>
      </c>
      <c r="P31" s="55">
        <f t="shared" ref="P31:P40" si="14">IF(Q31=0,0,Q31/O$24)</f>
        <v>784.56922374429212</v>
      </c>
      <c r="Q31" s="39">
        <f>+SUM(START:END!Q31)</f>
        <v>171820.65999999997</v>
      </c>
      <c r="R31" s="26"/>
      <c r="S31" s="39">
        <f t="shared" ref="S31:S53" si="15">L31-Q31</f>
        <v>-44603.609999999986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tr">
        <f t="shared" si="1"/>
        <v>Véhicules neufsComm. F&amp;I</v>
      </c>
      <c r="B32" s="7" t="str">
        <f t="shared" si="0"/>
        <v>Véhicules neufs</v>
      </c>
      <c r="C32" s="14" t="s">
        <v>31</v>
      </c>
      <c r="D32" s="296" t="e">
        <f>F32/F24</f>
        <v>#N/A</v>
      </c>
      <c r="E32" s="58" t="e">
        <f t="shared" si="10"/>
        <v>#N/A</v>
      </c>
      <c r="F32" s="31" t="e">
        <f>+SUM(START:END!F32)</f>
        <v>#N/A</v>
      </c>
      <c r="G32" s="104"/>
      <c r="H32" s="58" t="e">
        <f t="shared" si="11"/>
        <v>#DIV/0!</v>
      </c>
      <c r="I32" s="31">
        <f>+SUM(START:END!I32)</f>
        <v>0</v>
      </c>
      <c r="J32" s="104">
        <f>L32/L24</f>
        <v>0.31187476683512771</v>
      </c>
      <c r="K32" s="58">
        <f t="shared" si="12"/>
        <v>191.51188172043007</v>
      </c>
      <c r="L32" s="39">
        <f>+SUM(START:END!L32)</f>
        <v>35621.209999999992</v>
      </c>
      <c r="M32" s="14"/>
      <c r="N32" s="61" t="e">
        <f t="shared" si="13"/>
        <v>#N/A</v>
      </c>
      <c r="O32" s="104">
        <f>Q32/Q24</f>
        <v>0.26191303591284804</v>
      </c>
      <c r="P32" s="58">
        <f t="shared" si="14"/>
        <v>214.99050228310509</v>
      </c>
      <c r="Q32" s="61">
        <f>+SUM(START:END!Q32)</f>
        <v>47082.920000000013</v>
      </c>
      <c r="R32" s="14"/>
      <c r="S32" s="61">
        <f t="shared" si="15"/>
        <v>-11461.710000000021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tr">
        <f t="shared" si="1"/>
        <v>Véhicules neufsFrais de livraison</v>
      </c>
      <c r="B33" s="7" t="str">
        <f t="shared" si="0"/>
        <v>Véhicules neufs</v>
      </c>
      <c r="C33" s="26" t="s">
        <v>32</v>
      </c>
      <c r="D33" s="54"/>
      <c r="E33" s="55" t="e">
        <f t="shared" si="10"/>
        <v>#N/A</v>
      </c>
      <c r="F33" s="19" t="e">
        <f>+SUM(START:END!F33)</f>
        <v>#N/A</v>
      </c>
      <c r="G33" s="56"/>
      <c r="H33" s="55" t="e">
        <f t="shared" si="11"/>
        <v>#DIV/0!</v>
      </c>
      <c r="I33" s="19">
        <f>+SUM(START:END!I33)</f>
        <v>0</v>
      </c>
      <c r="J33" s="26"/>
      <c r="K33" s="55">
        <f t="shared" si="12"/>
        <v>424.52413978494621</v>
      </c>
      <c r="L33" s="297">
        <f>+SUM(START:END!L33)</f>
        <v>78961.489999999991</v>
      </c>
      <c r="M33" s="26"/>
      <c r="N33" s="39" t="e">
        <f t="shared" si="13"/>
        <v>#N/A</v>
      </c>
      <c r="O33" s="26"/>
      <c r="P33" s="55">
        <f t="shared" si="14"/>
        <v>-123.47598173515981</v>
      </c>
      <c r="Q33" s="39">
        <f>+SUM(START:END!Q33)</f>
        <v>-27041.239999999998</v>
      </c>
      <c r="R33" s="26"/>
      <c r="S33" s="39">
        <f t="shared" si="15"/>
        <v>106002.72999999998</v>
      </c>
      <c r="T33" s="7"/>
      <c r="U33" s="298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tr">
        <f t="shared" si="1"/>
        <v>Véhicules neufsService gratuit 1</v>
      </c>
      <c r="B34" s="7" t="str">
        <f t="shared" si="0"/>
        <v>Véhicules neufs</v>
      </c>
      <c r="C34" s="26" t="s">
        <v>33</v>
      </c>
      <c r="D34" s="54"/>
      <c r="E34" s="55" t="e">
        <f t="shared" si="10"/>
        <v>#N/A</v>
      </c>
      <c r="F34" s="19" t="e">
        <f>+SUM(START:END!F34)</f>
        <v>#N/A</v>
      </c>
      <c r="G34" s="56"/>
      <c r="H34" s="55" t="e">
        <f t="shared" si="11"/>
        <v>#DIV/0!</v>
      </c>
      <c r="I34" s="19">
        <f>+SUM(START:END!I34)</f>
        <v>0</v>
      </c>
      <c r="J34" s="26"/>
      <c r="K34" s="55">
        <f t="shared" si="12"/>
        <v>8.2118279569892412</v>
      </c>
      <c r="L34" s="39">
        <f>+SUM(START:END!L34)</f>
        <v>1527.3999999999987</v>
      </c>
      <c r="M34" s="26"/>
      <c r="N34" s="39" t="e">
        <f t="shared" si="13"/>
        <v>#N/A</v>
      </c>
      <c r="O34" s="26"/>
      <c r="P34" s="55">
        <f t="shared" si="14"/>
        <v>7.4466666666666654</v>
      </c>
      <c r="Q34" s="39">
        <f>+SUM(START:END!Q34)</f>
        <v>1630.8199999999997</v>
      </c>
      <c r="R34" s="26"/>
      <c r="S34" s="39">
        <f t="shared" si="15"/>
        <v>-103.42000000000098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tr">
        <f t="shared" si="1"/>
        <v>Véhicules neufsEntretien stock</v>
      </c>
      <c r="B35" s="7" t="str">
        <f t="shared" si="0"/>
        <v>Véhicules neufs</v>
      </c>
      <c r="C35" s="14" t="s">
        <v>34</v>
      </c>
      <c r="D35" s="57"/>
      <c r="E35" s="58" t="e">
        <f t="shared" si="10"/>
        <v>#N/A</v>
      </c>
      <c r="F35" s="31" t="e">
        <f>+SUM(START:END!F35)</f>
        <v>#N/A</v>
      </c>
      <c r="G35" s="59"/>
      <c r="H35" s="58" t="e">
        <f t="shared" si="11"/>
        <v>#DIV/0!</v>
      </c>
      <c r="I35" s="31">
        <f>+SUM(START:END!I35)</f>
        <v>0</v>
      </c>
      <c r="J35" s="14"/>
      <c r="K35" s="58">
        <f t="shared" si="12"/>
        <v>52.83161290322581</v>
      </c>
      <c r="L35" s="39">
        <f>+SUM(START:END!L35)</f>
        <v>9826.68</v>
      </c>
      <c r="M35" s="14"/>
      <c r="N35" s="61" t="e">
        <f t="shared" si="13"/>
        <v>#N/A</v>
      </c>
      <c r="O35" s="14"/>
      <c r="P35" s="58">
        <f t="shared" si="14"/>
        <v>0</v>
      </c>
      <c r="Q35" s="61">
        <f>+SUM(START:END!Q35)</f>
        <v>0</v>
      </c>
      <c r="R35" s="14"/>
      <c r="S35" s="61">
        <f t="shared" si="15"/>
        <v>9826.68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tr">
        <f t="shared" si="1"/>
        <v>Véhicules neufsPublicité 1</v>
      </c>
      <c r="B36" s="7" t="str">
        <f t="shared" si="0"/>
        <v>Véhicules neufs</v>
      </c>
      <c r="C36" s="26" t="s">
        <v>35</v>
      </c>
      <c r="D36" s="54"/>
      <c r="E36" s="55" t="e">
        <f t="shared" si="10"/>
        <v>#N/A</v>
      </c>
      <c r="F36" s="19" t="e">
        <f>+SUM(START:END!F36)</f>
        <v>#N/A</v>
      </c>
      <c r="G36" s="56"/>
      <c r="H36" s="55" t="e">
        <f t="shared" si="11"/>
        <v>#DIV/0!</v>
      </c>
      <c r="I36" s="19">
        <f>+SUM(START:END!I36)</f>
        <v>0</v>
      </c>
      <c r="J36" s="26"/>
      <c r="K36" s="55">
        <f t="shared" si="12"/>
        <v>-206.73672043010748</v>
      </c>
      <c r="L36" s="297">
        <f>+SUM(START:END!L36)</f>
        <v>-38453.029999999992</v>
      </c>
      <c r="M36" s="26"/>
      <c r="N36" s="39" t="e">
        <f t="shared" si="13"/>
        <v>#N/A</v>
      </c>
      <c r="O36" s="26"/>
      <c r="P36" s="55">
        <f t="shared" si="14"/>
        <v>-300.033196347032</v>
      </c>
      <c r="Q36" s="39">
        <f>+SUM(START:END!Q36)</f>
        <v>-65707.27</v>
      </c>
      <c r="R36" s="26"/>
      <c r="S36" s="39">
        <f t="shared" si="15"/>
        <v>27254.240000000013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tr">
        <f t="shared" si="1"/>
        <v>Véhicules neufsIntérêt de gros</v>
      </c>
      <c r="B37" s="7" t="str">
        <f t="shared" si="0"/>
        <v>Véhicules neufs</v>
      </c>
      <c r="C37" s="26" t="s">
        <v>36</v>
      </c>
      <c r="D37" s="54"/>
      <c r="E37" s="55" t="e">
        <f t="shared" si="10"/>
        <v>#N/A</v>
      </c>
      <c r="F37" s="19" t="e">
        <f>+SUM(START:END!F37)</f>
        <v>#N/A</v>
      </c>
      <c r="G37" s="56"/>
      <c r="H37" s="55" t="e">
        <f t="shared" si="11"/>
        <v>#DIV/0!</v>
      </c>
      <c r="I37" s="19">
        <f>+SUM(START:END!I37)</f>
        <v>0</v>
      </c>
      <c r="J37" s="26"/>
      <c r="K37" s="55">
        <f t="shared" si="12"/>
        <v>666.81252688172049</v>
      </c>
      <c r="L37" s="39">
        <f>+SUM(START:END!L37)</f>
        <v>124027.13</v>
      </c>
      <c r="M37" s="26"/>
      <c r="N37" s="39" t="e">
        <f t="shared" si="13"/>
        <v>#N/A</v>
      </c>
      <c r="O37" s="26"/>
      <c r="P37" s="55">
        <f t="shared" si="14"/>
        <v>833.86785388127828</v>
      </c>
      <c r="Q37" s="39">
        <f>+SUM(START:END!Q37)</f>
        <v>182617.05999999994</v>
      </c>
      <c r="R37" s="26"/>
      <c r="S37" s="39">
        <f>L37-Q37</f>
        <v>-58589.929999999935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tr">
        <f t="shared" si="1"/>
        <v>Véhicules neufsCrédit Intérêts Floor Plan</v>
      </c>
      <c r="B38" s="7" t="str">
        <f t="shared" si="0"/>
        <v>Véhicules neufs</v>
      </c>
      <c r="C38" s="26" t="s">
        <v>302</v>
      </c>
      <c r="D38" s="54"/>
      <c r="E38" s="55" t="e">
        <f t="shared" si="10"/>
        <v>#N/A</v>
      </c>
      <c r="F38" s="19" t="e">
        <f>+SUM(START:END!F38)</f>
        <v>#N/A</v>
      </c>
      <c r="G38" s="56"/>
      <c r="H38" s="55" t="e">
        <f t="shared" si="11"/>
        <v>#DIV/0!</v>
      </c>
      <c r="I38" s="19">
        <f>+SUM(START:END!I38)</f>
        <v>0</v>
      </c>
      <c r="J38" s="26"/>
      <c r="K38" s="55">
        <f t="shared" si="12"/>
        <v>-1753.4538709677415</v>
      </c>
      <c r="L38" s="39">
        <f>+SUM(START:END!L38)</f>
        <v>-326142.41999999993</v>
      </c>
      <c r="M38" s="7"/>
      <c r="N38" s="39" t="e">
        <f t="shared" si="13"/>
        <v>#N/A</v>
      </c>
      <c r="O38" s="26"/>
      <c r="P38" s="55">
        <f t="shared" si="14"/>
        <v>-2034.5403196347036</v>
      </c>
      <c r="Q38" s="39">
        <f>+SUM(START:END!Q38)</f>
        <v>-445564.33000000007</v>
      </c>
      <c r="R38" s="26"/>
      <c r="S38" s="39">
        <f>L38-Q38</f>
        <v>119421.91000000015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tr">
        <f t="shared" si="1"/>
        <v>Véhicules neufsCrédit Boni TD</v>
      </c>
      <c r="B39" s="7" t="str">
        <f t="shared" si="0"/>
        <v>Véhicules neufs</v>
      </c>
      <c r="C39" s="26" t="s">
        <v>303</v>
      </c>
      <c r="D39" s="54"/>
      <c r="E39" s="55" t="e">
        <f t="shared" si="10"/>
        <v>#N/A</v>
      </c>
      <c r="F39" s="19" t="e">
        <f>+SUM(START:END!F39)</f>
        <v>#N/A</v>
      </c>
      <c r="G39" s="56"/>
      <c r="H39" s="55" t="e">
        <f t="shared" si="11"/>
        <v>#DIV/0!</v>
      </c>
      <c r="I39" s="19">
        <f>+SUM(START:END!I39)</f>
        <v>0</v>
      </c>
      <c r="J39" s="26"/>
      <c r="K39" s="55">
        <f t="shared" si="12"/>
        <v>-167.32564516129037</v>
      </c>
      <c r="L39" s="39">
        <f>+SUM(START:END!L39)</f>
        <v>-31122.570000000007</v>
      </c>
      <c r="M39" s="7"/>
      <c r="N39" s="39" t="e">
        <f t="shared" si="13"/>
        <v>#N/A</v>
      </c>
      <c r="O39" s="26"/>
      <c r="P39" s="55">
        <f t="shared" si="14"/>
        <v>0</v>
      </c>
      <c r="Q39" s="39">
        <f>+SUM(START:END!Q39)</f>
        <v>0</v>
      </c>
      <c r="R39" s="26"/>
      <c r="S39" s="39">
        <f>L39-Q39</f>
        <v>-31122.570000000007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260" t="str">
        <f t="shared" si="1"/>
        <v>Véhicules neufs[...]</v>
      </c>
      <c r="B40" s="7" t="str">
        <f t="shared" si="0"/>
        <v>Véhicules neufs</v>
      </c>
      <c r="C40" s="26" t="s">
        <v>19</v>
      </c>
      <c r="D40" s="54"/>
      <c r="E40" s="55" t="e">
        <f t="shared" si="10"/>
        <v>#N/A</v>
      </c>
      <c r="F40" s="19" t="e">
        <f>+SUM(START:END!F40)</f>
        <v>#N/A</v>
      </c>
      <c r="G40" s="56"/>
      <c r="H40" s="55" t="e">
        <f t="shared" si="11"/>
        <v>#DIV/0!</v>
      </c>
      <c r="I40" s="19">
        <f>+SUM(START:END!I40)</f>
        <v>0</v>
      </c>
      <c r="J40" s="26"/>
      <c r="K40" s="55">
        <f t="shared" si="12"/>
        <v>0</v>
      </c>
      <c r="L40" s="299">
        <f>+SUM(START:END!L40)</f>
        <v>0</v>
      </c>
      <c r="M40" s="7"/>
      <c r="N40" s="39" t="e">
        <f t="shared" si="13"/>
        <v>#N/A</v>
      </c>
      <c r="O40" s="26"/>
      <c r="P40" s="55">
        <f t="shared" si="14"/>
        <v>0</v>
      </c>
      <c r="Q40" s="299">
        <f>+SUM(START:END!Q40)</f>
        <v>0</v>
      </c>
      <c r="R40" s="26"/>
      <c r="S40" s="39">
        <f>L40-Q40</f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tr">
        <f t="shared" si="1"/>
        <v>Véhicules neufsTOTAL VARIABLES</v>
      </c>
      <c r="B41" s="7" t="str">
        <f t="shared" si="0"/>
        <v>Véhicules neufs</v>
      </c>
      <c r="C41" s="139" t="s">
        <v>37</v>
      </c>
      <c r="D41" s="62" t="s">
        <v>38</v>
      </c>
      <c r="E41" s="63" t="e">
        <f>F41/F$27</f>
        <v>#N/A</v>
      </c>
      <c r="F41" s="64" t="e">
        <f>SUM(F31:F40)</f>
        <v>#N/A</v>
      </c>
      <c r="G41" s="65" t="s">
        <v>38</v>
      </c>
      <c r="H41" s="63" t="e">
        <f>I41/I$27</f>
        <v>#DIV/0!</v>
      </c>
      <c r="I41" s="64">
        <f>SUM(I31:I40)</f>
        <v>0</v>
      </c>
      <c r="J41" s="65" t="s">
        <v>38</v>
      </c>
      <c r="K41" s="63">
        <f>L41/L$27</f>
        <v>-3.322870248637573E-2</v>
      </c>
      <c r="L41" s="64">
        <f>SUM(L31:L40)</f>
        <v>-18537.059999999998</v>
      </c>
      <c r="M41" s="66"/>
      <c r="N41" s="64" t="e">
        <f t="shared" si="13"/>
        <v>#N/A</v>
      </c>
      <c r="O41" s="65" t="s">
        <v>38</v>
      </c>
      <c r="P41" s="63">
        <f>Q41/Q$27</f>
        <v>-0.15563868201728404</v>
      </c>
      <c r="Q41" s="64">
        <f>SUM(Q31:Q40)</f>
        <v>-135161.38000000012</v>
      </c>
      <c r="R41" s="67"/>
      <c r="S41" s="64">
        <f t="shared" si="15"/>
        <v>116624.32000000012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tr">
        <f t="shared" si="1"/>
        <v>Véhicules neufsSalaires cadres</v>
      </c>
      <c r="B42" s="7" t="str">
        <f t="shared" si="0"/>
        <v>Véhicules neufs</v>
      </c>
      <c r="C42" s="271" t="s">
        <v>40</v>
      </c>
      <c r="D42" s="7"/>
      <c r="E42" s="7"/>
      <c r="F42" s="19" t="e">
        <f>+SUM(START:END!F42)</f>
        <v>#N/A</v>
      </c>
      <c r="G42" s="26"/>
      <c r="H42" s="7"/>
      <c r="I42" s="19">
        <f>+SUM(START:END!I42)</f>
        <v>0</v>
      </c>
      <c r="J42" s="26"/>
      <c r="K42" s="7"/>
      <c r="L42" s="55">
        <f>+SUM(START:END!L42)</f>
        <v>42554.86</v>
      </c>
      <c r="M42" s="26"/>
      <c r="N42" s="39" t="e">
        <f t="shared" si="13"/>
        <v>#N/A</v>
      </c>
      <c r="O42" s="26"/>
      <c r="P42" s="7"/>
      <c r="Q42" s="55">
        <f>+SUM(START:END!Q42)</f>
        <v>25212.009999999995</v>
      </c>
      <c r="R42" s="26"/>
      <c r="S42" s="39">
        <f t="shared" si="15"/>
        <v>17342.850000000006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tr">
        <f t="shared" si="1"/>
        <v>Véhicules neufsSalaires commis</v>
      </c>
      <c r="B43" s="7" t="str">
        <f t="shared" si="0"/>
        <v>Véhicules neufs</v>
      </c>
      <c r="C43" s="272" t="s">
        <v>41</v>
      </c>
      <c r="D43" s="54"/>
      <c r="E43" s="7"/>
      <c r="F43" s="31" t="e">
        <f>+SUM(START:END!F43)</f>
        <v>#N/A</v>
      </c>
      <c r="G43" s="56"/>
      <c r="H43" s="7"/>
      <c r="I43" s="31">
        <f>+SUM(START:END!I43)</f>
        <v>0</v>
      </c>
      <c r="J43" s="26"/>
      <c r="K43" s="7"/>
      <c r="L43" s="61">
        <f>+SUM(START:END!L43)</f>
        <v>28600.690000000002</v>
      </c>
      <c r="M43" s="26"/>
      <c r="N43" s="39" t="e">
        <f t="shared" si="13"/>
        <v>#N/A</v>
      </c>
      <c r="O43" s="26"/>
      <c r="P43" s="7"/>
      <c r="Q43" s="61">
        <f>+SUM(START:END!Q43)</f>
        <v>88313.65</v>
      </c>
      <c r="R43" s="26"/>
      <c r="S43" s="39">
        <f t="shared" si="15"/>
        <v>-59712.959999999992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tr">
        <f t="shared" si="1"/>
        <v>Véhicules neufsSalaires autres</v>
      </c>
      <c r="B44" s="7" t="str">
        <f t="shared" si="0"/>
        <v>Véhicules neufs</v>
      </c>
      <c r="C44" s="271" t="s">
        <v>42</v>
      </c>
      <c r="D44" s="68"/>
      <c r="E44" s="69"/>
      <c r="F44" s="19" t="e">
        <f>+SUM(START:END!F44)</f>
        <v>#N/A</v>
      </c>
      <c r="G44" s="70"/>
      <c r="H44" s="69"/>
      <c r="I44" s="19">
        <f>+SUM(START:END!I44)</f>
        <v>0</v>
      </c>
      <c r="J44" s="71"/>
      <c r="K44" s="69"/>
      <c r="L44" s="55">
        <f>+SUM(START:END!L44)</f>
        <v>24202.139999999996</v>
      </c>
      <c r="M44" s="71"/>
      <c r="N44" s="72" t="e">
        <f t="shared" si="13"/>
        <v>#N/A</v>
      </c>
      <c r="O44" s="71"/>
      <c r="P44" s="69"/>
      <c r="Q44" s="55">
        <f>+SUM(START:END!Q44)</f>
        <v>13784.280000000002</v>
      </c>
      <c r="R44" s="71"/>
      <c r="S44" s="72">
        <f t="shared" si="15"/>
        <v>10417.859999999993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260" t="str">
        <f t="shared" si="1"/>
        <v>Véhicules neufsSalaires spécialistes</v>
      </c>
      <c r="B45" s="7" t="str">
        <f t="shared" si="0"/>
        <v>Véhicules neufs</v>
      </c>
      <c r="C45" s="271" t="s">
        <v>43</v>
      </c>
      <c r="D45" s="54"/>
      <c r="E45" s="7"/>
      <c r="F45" s="19" t="e">
        <f>+SUM(START:END!F45)</f>
        <v>#N/A</v>
      </c>
      <c r="G45" s="56"/>
      <c r="H45" s="7"/>
      <c r="I45" s="19">
        <f>+SUM(START:END!I45)</f>
        <v>0</v>
      </c>
      <c r="J45" s="26"/>
      <c r="K45" s="7"/>
      <c r="L45" s="55">
        <f>+SUM(START:END!L45)</f>
        <v>0</v>
      </c>
      <c r="M45" s="26"/>
      <c r="N45" s="39" t="e">
        <f t="shared" si="13"/>
        <v>#N/A</v>
      </c>
      <c r="O45" s="26"/>
      <c r="P45" s="7"/>
      <c r="Q45" s="55">
        <f>+SUM(START:END!Q45)</f>
        <v>0</v>
      </c>
      <c r="R45" s="26"/>
      <c r="S45" s="39">
        <f t="shared" si="15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260" t="str">
        <f t="shared" si="1"/>
        <v>Véhicules neufs[...]</v>
      </c>
      <c r="B46" s="7" t="str">
        <f t="shared" si="0"/>
        <v>Véhicules neufs</v>
      </c>
      <c r="C46" s="271" t="s">
        <v>19</v>
      </c>
      <c r="D46" s="54"/>
      <c r="E46" s="7"/>
      <c r="F46" s="19" t="e">
        <f>+SUM(START:END!F46)</f>
        <v>#N/A</v>
      </c>
      <c r="G46" s="56"/>
      <c r="H46" s="7"/>
      <c r="I46" s="19">
        <f>+SUM(START:END!I46)</f>
        <v>0</v>
      </c>
      <c r="J46" s="26"/>
      <c r="K46" s="7"/>
      <c r="L46" s="55">
        <f>+SUM(START:END!L46)</f>
        <v>0</v>
      </c>
      <c r="M46" s="26"/>
      <c r="N46" s="39" t="e">
        <f t="shared" si="13"/>
        <v>#N/A</v>
      </c>
      <c r="O46" s="26"/>
      <c r="P46" s="7"/>
      <c r="Q46" s="55">
        <f>+SUM(START:END!Q46)</f>
        <v>0</v>
      </c>
      <c r="R46" s="26"/>
      <c r="S46" s="39">
        <f>L46-Q46</f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260" t="str">
        <f t="shared" si="1"/>
        <v>Véhicules neufs[...]</v>
      </c>
      <c r="B47" s="7" t="str">
        <f t="shared" si="0"/>
        <v>Véhicules neufs</v>
      </c>
      <c r="C47" s="271" t="s">
        <v>19</v>
      </c>
      <c r="D47" s="54"/>
      <c r="E47" s="7"/>
      <c r="F47" s="19" t="e">
        <f>+SUM(START:END!F47)</f>
        <v>#N/A</v>
      </c>
      <c r="G47" s="56"/>
      <c r="H47" s="7"/>
      <c r="I47" s="19">
        <f>+SUM(START:END!I47)</f>
        <v>0</v>
      </c>
      <c r="J47" s="26"/>
      <c r="K47" s="7"/>
      <c r="L47" s="55">
        <f>+SUM(START:END!L47)</f>
        <v>0</v>
      </c>
      <c r="M47" s="26"/>
      <c r="N47" s="39" t="e">
        <f t="shared" si="13"/>
        <v>#N/A</v>
      </c>
      <c r="O47" s="26"/>
      <c r="P47" s="7"/>
      <c r="Q47" s="55">
        <f>+SUM(START:END!Q47)</f>
        <v>0</v>
      </c>
      <c r="R47" s="26"/>
      <c r="S47" s="39">
        <f>L47-Q47</f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260" t="str">
        <f t="shared" si="1"/>
        <v>Véhicules neufs[...]</v>
      </c>
      <c r="B48" s="7" t="str">
        <f t="shared" si="0"/>
        <v>Véhicules neufs</v>
      </c>
      <c r="C48" s="271" t="s">
        <v>19</v>
      </c>
      <c r="D48" s="54"/>
      <c r="E48" s="7"/>
      <c r="F48" s="19" t="e">
        <f>+SUM(START:END!F48)</f>
        <v>#N/A</v>
      </c>
      <c r="G48" s="56"/>
      <c r="H48" s="7"/>
      <c r="I48" s="19">
        <f>+SUM(START:END!I48)</f>
        <v>0</v>
      </c>
      <c r="J48" s="26"/>
      <c r="K48" s="7"/>
      <c r="L48" s="55">
        <f>+SUM(START:END!L48)</f>
        <v>0</v>
      </c>
      <c r="M48" s="26"/>
      <c r="N48" s="39" t="e">
        <f t="shared" si="13"/>
        <v>#N/A</v>
      </c>
      <c r="O48" s="26"/>
      <c r="P48" s="7"/>
      <c r="Q48" s="55">
        <f>+SUM(START:END!Q48)</f>
        <v>0</v>
      </c>
      <c r="R48" s="26"/>
      <c r="S48" s="39">
        <f>L48-Q48</f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tr">
        <f t="shared" si="1"/>
        <v>Véhicules neufsSalaires en absences</v>
      </c>
      <c r="B49" s="7" t="str">
        <f t="shared" si="0"/>
        <v>Véhicules neufs</v>
      </c>
      <c r="C49" s="272" t="s">
        <v>44</v>
      </c>
      <c r="D49" s="54"/>
      <c r="E49" s="7"/>
      <c r="F49" s="31" t="e">
        <f>+SUM(START:END!F49)</f>
        <v>#N/A</v>
      </c>
      <c r="G49" s="56"/>
      <c r="H49" s="7"/>
      <c r="I49" s="31">
        <f>+SUM(START:END!I49)</f>
        <v>0</v>
      </c>
      <c r="J49" s="26"/>
      <c r="K49" s="7"/>
      <c r="L49" s="61">
        <f>+SUM(START:END!L49)</f>
        <v>20651.019999999997</v>
      </c>
      <c r="M49" s="26"/>
      <c r="N49" s="39" t="e">
        <f t="shared" si="13"/>
        <v>#N/A</v>
      </c>
      <c r="O49" s="26"/>
      <c r="P49" s="7"/>
      <c r="Q49" s="61">
        <f>+SUM(START:END!Q49)</f>
        <v>37852.630000000005</v>
      </c>
      <c r="R49" s="26"/>
      <c r="S49" s="39">
        <f t="shared" si="15"/>
        <v>-17201.610000000008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tr">
        <f t="shared" si="1"/>
        <v>Véhicules neufsDéduction à la source</v>
      </c>
      <c r="B50" s="7" t="str">
        <f t="shared" si="0"/>
        <v>Véhicules neufs</v>
      </c>
      <c r="C50" s="271" t="s">
        <v>45</v>
      </c>
      <c r="D50" s="68"/>
      <c r="E50" s="69"/>
      <c r="F50" s="19" t="e">
        <f>+SUM(START:END!F50)</f>
        <v>#N/A</v>
      </c>
      <c r="G50" s="70"/>
      <c r="H50" s="69"/>
      <c r="I50" s="19">
        <f>+SUM(START:END!I50)</f>
        <v>0</v>
      </c>
      <c r="J50" s="71"/>
      <c r="K50" s="69"/>
      <c r="L50" s="55">
        <f>+SUM(START:END!L50)</f>
        <v>26952.979999999996</v>
      </c>
      <c r="M50" s="71"/>
      <c r="N50" s="72" t="e">
        <f t="shared" si="13"/>
        <v>#N/A</v>
      </c>
      <c r="O50" s="71"/>
      <c r="P50" s="69"/>
      <c r="Q50" s="55">
        <f>+SUM(START:END!Q50)</f>
        <v>48777.329999999987</v>
      </c>
      <c r="R50" s="71"/>
      <c r="S50" s="72">
        <f t="shared" si="15"/>
        <v>-21824.349999999991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tr">
        <f t="shared" si="1"/>
        <v>Véhicules neufsBénéfices marginaux</v>
      </c>
      <c r="B51" s="7" t="str">
        <f t="shared" si="0"/>
        <v>Véhicules neufs</v>
      </c>
      <c r="C51" s="271" t="s">
        <v>46</v>
      </c>
      <c r="D51" s="54"/>
      <c r="E51" s="7"/>
      <c r="F51" s="19" t="e">
        <f>+SUM(START:END!F51)</f>
        <v>#N/A</v>
      </c>
      <c r="G51" s="56"/>
      <c r="H51" s="7"/>
      <c r="I51" s="19">
        <f>+SUM(START:END!I51)</f>
        <v>0</v>
      </c>
      <c r="J51" s="26"/>
      <c r="K51" s="7"/>
      <c r="L51" s="55">
        <f>+SUM(START:END!L51)</f>
        <v>5571.16</v>
      </c>
      <c r="M51" s="26"/>
      <c r="N51" s="39" t="e">
        <f t="shared" si="13"/>
        <v>#N/A</v>
      </c>
      <c r="O51" s="26"/>
      <c r="P51" s="7"/>
      <c r="Q51" s="55">
        <f>+SUM(START:END!Q51)</f>
        <v>12570.599999999999</v>
      </c>
      <c r="R51" s="26"/>
      <c r="S51" s="39">
        <f t="shared" si="15"/>
        <v>-6999.4399999999987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tr">
        <f t="shared" si="1"/>
        <v>Véhicules neufsCsst</v>
      </c>
      <c r="B52" s="7" t="str">
        <f t="shared" si="0"/>
        <v>Véhicules neufs</v>
      </c>
      <c r="C52" s="271" t="s">
        <v>47</v>
      </c>
      <c r="D52" s="54"/>
      <c r="E52" s="7"/>
      <c r="F52" s="19" t="e">
        <f>+SUM(START:END!F52)</f>
        <v>#N/A</v>
      </c>
      <c r="G52" s="56"/>
      <c r="H52" s="7"/>
      <c r="I52" s="19">
        <f>+SUM(START:END!I52)</f>
        <v>0</v>
      </c>
      <c r="J52" s="26"/>
      <c r="K52" s="7"/>
      <c r="L52" s="55">
        <f>+SUM(START:END!L52)</f>
        <v>10531.27</v>
      </c>
      <c r="M52" s="26"/>
      <c r="N52" s="39" t="e">
        <f t="shared" si="13"/>
        <v>#N/A</v>
      </c>
      <c r="O52" s="26"/>
      <c r="P52" s="7"/>
      <c r="Q52" s="55">
        <f>+SUM(START:END!Q52)</f>
        <v>48.049999999999955</v>
      </c>
      <c r="R52" s="26"/>
      <c r="S52" s="39">
        <f t="shared" si="15"/>
        <v>10483.220000000001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260" t="str">
        <f t="shared" si="1"/>
        <v>Véhicules neufs[...]</v>
      </c>
      <c r="B53" s="7" t="str">
        <f t="shared" si="0"/>
        <v>Véhicules neufs</v>
      </c>
      <c r="C53" s="26" t="s">
        <v>19</v>
      </c>
      <c r="D53" s="57"/>
      <c r="E53" s="73"/>
      <c r="F53" s="19" t="e">
        <f>+SUM(START:END!F53)</f>
        <v>#N/A</v>
      </c>
      <c r="G53" s="59"/>
      <c r="H53" s="73"/>
      <c r="I53" s="19">
        <f>+SUM(START:END!I53)</f>
        <v>0</v>
      </c>
      <c r="J53" s="14"/>
      <c r="K53" s="73"/>
      <c r="L53" s="39">
        <f>+SUM(START:END!L53)</f>
        <v>0</v>
      </c>
      <c r="M53" s="14"/>
      <c r="N53" s="61" t="e">
        <f t="shared" si="13"/>
        <v>#N/A</v>
      </c>
      <c r="O53" s="14"/>
      <c r="P53" s="73"/>
      <c r="Q53" s="39">
        <f>+SUM(START:END!Q53)</f>
        <v>0</v>
      </c>
      <c r="R53" s="14"/>
      <c r="S53" s="61">
        <f t="shared" si="15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tr">
        <f t="shared" si="1"/>
        <v>Véhicules neufsTOTAL PERSONNEL</v>
      </c>
      <c r="B54" s="7" t="str">
        <f t="shared" si="0"/>
        <v>Véhicules neufs</v>
      </c>
      <c r="C54" s="139" t="s">
        <v>48</v>
      </c>
      <c r="D54" s="62" t="s">
        <v>38</v>
      </c>
      <c r="E54" s="63" t="e">
        <f>F54/F$27</f>
        <v>#N/A</v>
      </c>
      <c r="F54" s="64" t="e">
        <f>+SUM(F42:F53)</f>
        <v>#N/A</v>
      </c>
      <c r="G54" s="65" t="s">
        <v>38</v>
      </c>
      <c r="H54" s="63" t="e">
        <f>I54/I$27</f>
        <v>#DIV/0!</v>
      </c>
      <c r="I54" s="64">
        <f>+SUM(I42:I53)</f>
        <v>0</v>
      </c>
      <c r="J54" s="65" t="s">
        <v>38</v>
      </c>
      <c r="K54" s="63">
        <f>L54/L$27</f>
        <v>0.28513120849461393</v>
      </c>
      <c r="L54" s="64">
        <f>+SUM(L42:L53)</f>
        <v>159064.12</v>
      </c>
      <c r="M54" s="66"/>
      <c r="N54" s="64" t="e">
        <f>+SUM(N42:N53)</f>
        <v>#N/A</v>
      </c>
      <c r="O54" s="65" t="s">
        <v>38</v>
      </c>
      <c r="P54" s="63">
        <f>Q54/Q$27</f>
        <v>0.26088276193796567</v>
      </c>
      <c r="Q54" s="64">
        <f>+SUM(Q42:Q53)</f>
        <v>226558.55</v>
      </c>
      <c r="R54" s="67"/>
      <c r="S54" s="64">
        <f>+SUM(S42:S53)</f>
        <v>-67494.429999999993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260" t="str">
        <f t="shared" si="1"/>
        <v>Véhicules neufsPublicité 2</v>
      </c>
      <c r="B55" s="7" t="str">
        <f t="shared" si="0"/>
        <v>Véhicules neufs</v>
      </c>
      <c r="C55" s="26" t="s">
        <v>49</v>
      </c>
      <c r="D55" s="54"/>
      <c r="E55" s="7"/>
      <c r="F55" s="19" t="e">
        <f>+SUM(START:END!F55)</f>
        <v>#N/A</v>
      </c>
      <c r="G55" s="56"/>
      <c r="H55" s="7"/>
      <c r="I55" s="19">
        <f>+SUM(START:END!I55)</f>
        <v>0</v>
      </c>
      <c r="J55" s="26"/>
      <c r="K55" s="7"/>
      <c r="L55" s="39">
        <f>+SUM(START:END!L55)</f>
        <v>0</v>
      </c>
      <c r="M55" s="26"/>
      <c r="N55" s="39" t="e">
        <f t="shared" ref="N55:N71" si="16">L55-F55</f>
        <v>#N/A</v>
      </c>
      <c r="O55" s="26"/>
      <c r="P55" s="7"/>
      <c r="Q55" s="39">
        <f>+SUM(START:END!Q55)</f>
        <v>0</v>
      </c>
      <c r="R55" s="26"/>
      <c r="S55" s="39">
        <f t="shared" ref="S55:S71" si="17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260" t="str">
        <f t="shared" si="1"/>
        <v>Véhicules neufsService gratuit 2</v>
      </c>
      <c r="B56" s="7" t="str">
        <f t="shared" si="0"/>
        <v>Véhicules neufs</v>
      </c>
      <c r="C56" s="26" t="s">
        <v>50</v>
      </c>
      <c r="D56" s="54"/>
      <c r="E56" s="7"/>
      <c r="F56" s="19" t="e">
        <f>+SUM(START:END!F56)</f>
        <v>#N/A</v>
      </c>
      <c r="G56" s="56"/>
      <c r="H56" s="7"/>
      <c r="I56" s="19">
        <f>+SUM(START:END!I56)</f>
        <v>0</v>
      </c>
      <c r="J56" s="26"/>
      <c r="K56" s="7"/>
      <c r="L56" s="39">
        <f>+SUM(START:END!L56)</f>
        <v>0</v>
      </c>
      <c r="M56" s="26"/>
      <c r="N56" s="39" t="e">
        <f t="shared" si="16"/>
        <v>#N/A</v>
      </c>
      <c r="O56" s="26"/>
      <c r="P56" s="7"/>
      <c r="Q56" s="39">
        <f>+SUM(START:END!Q56)</f>
        <v>0</v>
      </c>
      <c r="R56" s="26"/>
      <c r="S56" s="39">
        <f t="shared" si="17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tr">
        <f t="shared" si="1"/>
        <v>Véhicules neufsFrais véhicules de cie</v>
      </c>
      <c r="B57" s="7" t="str">
        <f t="shared" si="0"/>
        <v>Véhicules neufs</v>
      </c>
      <c r="C57" s="14" t="s">
        <v>51</v>
      </c>
      <c r="D57" s="57"/>
      <c r="E57" s="73"/>
      <c r="F57" s="31" t="e">
        <f>+SUM(START:END!F57)</f>
        <v>#N/A</v>
      </c>
      <c r="G57" s="59"/>
      <c r="H57" s="73"/>
      <c r="I57" s="31">
        <f>+SUM(START:END!I57)</f>
        <v>0</v>
      </c>
      <c r="J57" s="14"/>
      <c r="K57" s="73"/>
      <c r="L57" s="61">
        <f>+SUM(START:END!L57)</f>
        <v>17114.369999999995</v>
      </c>
      <c r="M57" s="14"/>
      <c r="N57" s="61" t="e">
        <f t="shared" si="16"/>
        <v>#N/A</v>
      </c>
      <c r="O57" s="14"/>
      <c r="P57" s="73"/>
      <c r="Q57" s="61">
        <f>+SUM(START:END!Q57)</f>
        <v>34800.989999999991</v>
      </c>
      <c r="R57" s="14"/>
      <c r="S57" s="61">
        <f t="shared" si="17"/>
        <v>-17686.619999999995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tr">
        <f t="shared" si="1"/>
        <v>Véhicules neufsInformatique</v>
      </c>
      <c r="B58" s="7" t="str">
        <f t="shared" si="0"/>
        <v>Véhicules neufs</v>
      </c>
      <c r="C58" s="26" t="s">
        <v>52</v>
      </c>
      <c r="D58" s="54"/>
      <c r="E58" s="7"/>
      <c r="F58" s="19" t="e">
        <f>+SUM(START:END!F58)</f>
        <v>#N/A</v>
      </c>
      <c r="G58" s="56"/>
      <c r="H58" s="7"/>
      <c r="I58" s="19">
        <f>+SUM(START:END!I58)</f>
        <v>0</v>
      </c>
      <c r="J58" s="26"/>
      <c r="K58" s="7"/>
      <c r="L58" s="39">
        <f>+SUM(START:END!L58)</f>
        <v>12523.39</v>
      </c>
      <c r="M58" s="26"/>
      <c r="N58" s="39" t="e">
        <f t="shared" si="16"/>
        <v>#N/A</v>
      </c>
      <c r="O58" s="26"/>
      <c r="P58" s="7"/>
      <c r="Q58" s="39">
        <f>+SUM(START:END!Q58)</f>
        <v>12921.57</v>
      </c>
      <c r="R58" s="26"/>
      <c r="S58" s="39">
        <f t="shared" si="17"/>
        <v>-398.18000000000029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tr">
        <f t="shared" si="1"/>
        <v>Véhicules neufsFrais de déplacement</v>
      </c>
      <c r="B59" s="7" t="str">
        <f t="shared" si="0"/>
        <v>Véhicules neufs</v>
      </c>
      <c r="C59" s="26" t="s">
        <v>53</v>
      </c>
      <c r="D59" s="54"/>
      <c r="E59" s="7"/>
      <c r="F59" s="19" t="e">
        <f>+SUM(START:END!F59)</f>
        <v>#N/A</v>
      </c>
      <c r="G59" s="56"/>
      <c r="H59" s="7"/>
      <c r="I59" s="19">
        <f>+SUM(START:END!I59)</f>
        <v>0</v>
      </c>
      <c r="J59" s="26"/>
      <c r="K59" s="7"/>
      <c r="L59" s="39">
        <f>+SUM(START:END!L59)</f>
        <v>1556.9999999999982</v>
      </c>
      <c r="M59" s="26"/>
      <c r="N59" s="39" t="e">
        <f t="shared" si="16"/>
        <v>#N/A</v>
      </c>
      <c r="O59" s="26"/>
      <c r="P59" s="7"/>
      <c r="Q59" s="39">
        <f>+SUM(START:END!Q59)</f>
        <v>16462.689999999999</v>
      </c>
      <c r="R59" s="26"/>
      <c r="S59" s="39">
        <f t="shared" si="17"/>
        <v>-14905.69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tr">
        <f t="shared" si="1"/>
        <v>Véhicules neufsServices extérieurs</v>
      </c>
      <c r="B60" s="7" t="str">
        <f t="shared" si="0"/>
        <v>Véhicules neufs</v>
      </c>
      <c r="C60" s="14" t="s">
        <v>54</v>
      </c>
      <c r="D60" s="57"/>
      <c r="E60" s="73"/>
      <c r="F60" s="31" t="e">
        <f>+SUM(START:END!F60)</f>
        <v>#N/A</v>
      </c>
      <c r="G60" s="59"/>
      <c r="H60" s="73"/>
      <c r="I60" s="31">
        <f>+SUM(START:END!I60)</f>
        <v>0</v>
      </c>
      <c r="J60" s="14"/>
      <c r="K60" s="73"/>
      <c r="L60" s="61">
        <f>+SUM(START:END!L60)</f>
        <v>13369.610000000004</v>
      </c>
      <c r="M60" s="14"/>
      <c r="N60" s="61" t="e">
        <f t="shared" si="16"/>
        <v>#N/A</v>
      </c>
      <c r="O60" s="14"/>
      <c r="P60" s="73"/>
      <c r="Q60" s="61">
        <f>+SUM(START:END!Q60)</f>
        <v>24120.400000000001</v>
      </c>
      <c r="R60" s="14"/>
      <c r="S60" s="61">
        <f t="shared" si="17"/>
        <v>-10750.789999999997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tr">
        <f t="shared" si="1"/>
        <v>Véhicules neufsFournitures autres</v>
      </c>
      <c r="B61" s="7" t="str">
        <f t="shared" si="0"/>
        <v>Véhicules neufs</v>
      </c>
      <c r="C61" s="26" t="s">
        <v>55</v>
      </c>
      <c r="D61" s="54"/>
      <c r="E61" s="7"/>
      <c r="F61" s="19" t="e">
        <f>+SUM(START:END!F61)</f>
        <v>#N/A</v>
      </c>
      <c r="G61" s="56"/>
      <c r="H61" s="7"/>
      <c r="I61" s="19">
        <f>+SUM(START:END!I61)</f>
        <v>0</v>
      </c>
      <c r="J61" s="26"/>
      <c r="K61" s="7"/>
      <c r="L61" s="39">
        <f>+SUM(START:END!L61)</f>
        <v>805.38000000000011</v>
      </c>
      <c r="M61" s="26"/>
      <c r="N61" s="39" t="e">
        <f t="shared" si="16"/>
        <v>#N/A</v>
      </c>
      <c r="O61" s="26"/>
      <c r="P61" s="7"/>
      <c r="Q61" s="39">
        <f>+SUM(START:END!Q61)</f>
        <v>2175.19</v>
      </c>
      <c r="R61" s="26"/>
      <c r="S61" s="39">
        <f t="shared" si="17"/>
        <v>-1369.81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tr">
        <f t="shared" si="1"/>
        <v>Véhicules neufsUniformes</v>
      </c>
      <c r="B62" s="7" t="str">
        <f t="shared" si="0"/>
        <v>Véhicules neufs</v>
      </c>
      <c r="C62" s="26" t="s">
        <v>56</v>
      </c>
      <c r="D62" s="54"/>
      <c r="E62" s="7"/>
      <c r="F62" s="19" t="e">
        <f>+SUM(START:END!F62)</f>
        <v>#N/A</v>
      </c>
      <c r="G62" s="56"/>
      <c r="H62" s="7"/>
      <c r="I62" s="19">
        <f>+SUM(START:END!I62)</f>
        <v>0</v>
      </c>
      <c r="J62" s="26"/>
      <c r="K62" s="7"/>
      <c r="L62" s="39">
        <f>+SUM(START:END!L62)</f>
        <v>0</v>
      </c>
      <c r="M62" s="26"/>
      <c r="N62" s="39" t="e">
        <f t="shared" si="16"/>
        <v>#N/A</v>
      </c>
      <c r="O62" s="26"/>
      <c r="P62" s="7"/>
      <c r="Q62" s="39">
        <f>+SUM(START:END!Q62)</f>
        <v>0</v>
      </c>
      <c r="R62" s="26"/>
      <c r="S62" s="39">
        <f t="shared" si="17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tr">
        <f t="shared" si="1"/>
        <v>Véhicules neufsPapeterie</v>
      </c>
      <c r="B63" s="7" t="str">
        <f t="shared" si="0"/>
        <v>Véhicules neufs</v>
      </c>
      <c r="C63" s="26" t="s">
        <v>57</v>
      </c>
      <c r="D63" s="54"/>
      <c r="E63" s="7"/>
      <c r="F63" s="19" t="e">
        <f>+SUM(START:END!F63)</f>
        <v>#N/A</v>
      </c>
      <c r="G63" s="56"/>
      <c r="H63" s="7"/>
      <c r="I63" s="19">
        <f>+SUM(START:END!I63)</f>
        <v>0</v>
      </c>
      <c r="J63" s="26"/>
      <c r="K63" s="7"/>
      <c r="L63" s="39">
        <f>+SUM(START:END!L63)</f>
        <v>3445.6499999999996</v>
      </c>
      <c r="M63" s="26"/>
      <c r="N63" s="39" t="e">
        <f t="shared" si="16"/>
        <v>#N/A</v>
      </c>
      <c r="O63" s="26"/>
      <c r="P63" s="7"/>
      <c r="Q63" s="39">
        <f>+SUM(START:END!Q63)</f>
        <v>5070.4499999999989</v>
      </c>
      <c r="R63" s="26"/>
      <c r="S63" s="39">
        <f t="shared" si="17"/>
        <v>-1624.7999999999993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tr">
        <f t="shared" si="1"/>
        <v>Véhicules neufsTéléphone</v>
      </c>
      <c r="B64" s="7" t="str">
        <f t="shared" si="0"/>
        <v>Véhicules neufs</v>
      </c>
      <c r="C64" s="26" t="s">
        <v>58</v>
      </c>
      <c r="D64" s="54"/>
      <c r="E64" s="7"/>
      <c r="F64" s="19" t="e">
        <f>+SUM(START:END!F64)</f>
        <v>#N/A</v>
      </c>
      <c r="G64" s="56"/>
      <c r="H64" s="7"/>
      <c r="I64" s="19">
        <f>+SUM(START:END!I64)</f>
        <v>0</v>
      </c>
      <c r="J64" s="26"/>
      <c r="K64" s="7"/>
      <c r="L64" s="39">
        <f>+SUM(START:END!L64)</f>
        <v>1935.7900000000004</v>
      </c>
      <c r="M64" s="26"/>
      <c r="N64" s="39" t="e">
        <f t="shared" si="16"/>
        <v>#N/A</v>
      </c>
      <c r="O64" s="26"/>
      <c r="P64" s="7"/>
      <c r="Q64" s="39">
        <f>+SUM(START:END!Q64)</f>
        <v>2156.5199999999995</v>
      </c>
      <c r="R64" s="26"/>
      <c r="S64" s="39">
        <f t="shared" si="17"/>
        <v>-220.72999999999911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tr">
        <f t="shared" si="1"/>
        <v>Véhicules neufsFrais postaux</v>
      </c>
      <c r="B65" s="7" t="str">
        <f t="shared" si="0"/>
        <v>Véhicules neufs</v>
      </c>
      <c r="C65" s="26" t="s">
        <v>59</v>
      </c>
      <c r="D65" s="54"/>
      <c r="E65" s="7"/>
      <c r="F65" s="19" t="e">
        <f>+SUM(START:END!F65)</f>
        <v>#N/A</v>
      </c>
      <c r="G65" s="56"/>
      <c r="H65" s="7"/>
      <c r="I65" s="19">
        <f>+SUM(START:END!I65)</f>
        <v>0</v>
      </c>
      <c r="J65" s="26"/>
      <c r="K65" s="7"/>
      <c r="L65" s="39">
        <f>+SUM(START:END!L65)</f>
        <v>2945.91</v>
      </c>
      <c r="M65" s="26"/>
      <c r="N65" s="39" t="e">
        <f t="shared" si="16"/>
        <v>#N/A</v>
      </c>
      <c r="O65" s="26"/>
      <c r="P65" s="7"/>
      <c r="Q65" s="39">
        <f>+SUM(START:END!Q65)</f>
        <v>3135.84</v>
      </c>
      <c r="R65" s="26"/>
      <c r="S65" s="39">
        <f t="shared" si="17"/>
        <v>-189.93000000000029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tr">
        <f t="shared" si="1"/>
        <v>Véhicules neufsDivers</v>
      </c>
      <c r="B66" s="7" t="str">
        <f t="shared" si="0"/>
        <v>Véhicules neufs</v>
      </c>
      <c r="C66" s="26" t="s">
        <v>60</v>
      </c>
      <c r="D66" s="54"/>
      <c r="E66" s="7"/>
      <c r="F66" s="19" t="e">
        <f>+SUM(START:END!F66)</f>
        <v>#N/A</v>
      </c>
      <c r="G66" s="56"/>
      <c r="H66" s="7"/>
      <c r="I66" s="19">
        <f>+SUM(START:END!I66)</f>
        <v>0</v>
      </c>
      <c r="J66" s="26"/>
      <c r="K66" s="7"/>
      <c r="L66" s="39">
        <f>+SUM(START:END!L66)</f>
        <v>9764.15</v>
      </c>
      <c r="M66" s="26"/>
      <c r="N66" s="39" t="e">
        <f t="shared" si="16"/>
        <v>#N/A</v>
      </c>
      <c r="O66" s="26"/>
      <c r="P66" s="7"/>
      <c r="Q66" s="39">
        <f>+SUM(START:END!Q66)</f>
        <v>10354.27</v>
      </c>
      <c r="R66" s="26"/>
      <c r="S66" s="39">
        <f t="shared" si="17"/>
        <v>-590.1200000000008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tr">
        <f t="shared" si="1"/>
        <v>Véhicules neufsFormation</v>
      </c>
      <c r="B67" s="7" t="str">
        <f t="shared" si="0"/>
        <v>Véhicules neufs</v>
      </c>
      <c r="C67" s="26" t="s">
        <v>61</v>
      </c>
      <c r="D67" s="54"/>
      <c r="E67" s="7"/>
      <c r="F67" s="19" t="e">
        <f>+SUM(START:END!F67)</f>
        <v>#N/A</v>
      </c>
      <c r="G67" s="56"/>
      <c r="H67" s="7"/>
      <c r="I67" s="19">
        <f>+SUM(START:END!I67)</f>
        <v>0</v>
      </c>
      <c r="J67" s="26"/>
      <c r="K67" s="7"/>
      <c r="L67" s="39">
        <f>+SUM(START:END!L67)</f>
        <v>1710</v>
      </c>
      <c r="M67" s="26"/>
      <c r="N67" s="39" t="e">
        <f t="shared" si="16"/>
        <v>#N/A</v>
      </c>
      <c r="O67" s="26"/>
      <c r="P67" s="7"/>
      <c r="Q67" s="39">
        <f>+SUM(START:END!Q67)</f>
        <v>2295</v>
      </c>
      <c r="R67" s="26"/>
      <c r="S67" s="39">
        <f>L67-Q67</f>
        <v>-585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tr">
        <f t="shared" si="1"/>
        <v>Véhicules neufsFrais bancaires</v>
      </c>
      <c r="B68" s="7" t="str">
        <f t="shared" si="0"/>
        <v>Véhicules neufs</v>
      </c>
      <c r="C68" s="26" t="s">
        <v>62</v>
      </c>
      <c r="D68" s="54"/>
      <c r="E68" s="7"/>
      <c r="F68" s="19" t="e">
        <f>+SUM(START:END!F68)</f>
        <v>#N/A</v>
      </c>
      <c r="G68" s="56"/>
      <c r="H68" s="7"/>
      <c r="I68" s="19">
        <f>+SUM(START:END!I68)</f>
        <v>0</v>
      </c>
      <c r="J68" s="26"/>
      <c r="K68" s="7"/>
      <c r="L68" s="39">
        <f>+SUM(START:END!L68)</f>
        <v>5249.5999999999985</v>
      </c>
      <c r="M68" s="26"/>
      <c r="N68" s="39" t="e">
        <f t="shared" si="16"/>
        <v>#N/A</v>
      </c>
      <c r="O68" s="26"/>
      <c r="P68" s="7"/>
      <c r="Q68" s="39">
        <f>+SUM(START:END!Q68)</f>
        <v>1026.4899999999998</v>
      </c>
      <c r="R68" s="26"/>
      <c r="S68" s="39">
        <f>L68-Q68</f>
        <v>4223.1099999999988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260" t="str">
        <f t="shared" si="1"/>
        <v>Véhicules neufs[...]</v>
      </c>
      <c r="B69" s="7" t="str">
        <f t="shared" si="0"/>
        <v>Véhicules neufs</v>
      </c>
      <c r="C69" s="26" t="s">
        <v>19</v>
      </c>
      <c r="D69" s="54"/>
      <c r="E69" s="7"/>
      <c r="F69" s="19" t="e">
        <f>+SUM(START:END!F69)</f>
        <v>#N/A</v>
      </c>
      <c r="G69" s="56"/>
      <c r="H69" s="7"/>
      <c r="I69" s="19">
        <f>+SUM(START:END!I69)</f>
        <v>0</v>
      </c>
      <c r="J69" s="26"/>
      <c r="K69" s="7"/>
      <c r="L69" s="39">
        <f>+SUM(START:END!L69)</f>
        <v>0</v>
      </c>
      <c r="M69" s="26"/>
      <c r="N69" s="39" t="e">
        <f t="shared" si="16"/>
        <v>#N/A</v>
      </c>
      <c r="O69" s="26"/>
      <c r="P69" s="7"/>
      <c r="Q69" s="39">
        <f>+SUM(START:END!Q69)</f>
        <v>0</v>
      </c>
      <c r="R69" s="26"/>
      <c r="S69" s="39">
        <f>L69-Q69</f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260" t="str">
        <f t="shared" si="1"/>
        <v>Véhicules neufs[...]</v>
      </c>
      <c r="B70" s="7" t="str">
        <f t="shared" si="0"/>
        <v>Véhicules neufs</v>
      </c>
      <c r="C70" s="26" t="s">
        <v>19</v>
      </c>
      <c r="D70" s="54"/>
      <c r="E70" s="7"/>
      <c r="F70" s="19" t="e">
        <f>+SUM(START:END!F70)</f>
        <v>#N/A</v>
      </c>
      <c r="G70" s="56"/>
      <c r="H70" s="7"/>
      <c r="I70" s="19">
        <f>+SUM(START:END!I70)</f>
        <v>0</v>
      </c>
      <c r="J70" s="26"/>
      <c r="K70" s="7"/>
      <c r="L70" s="39">
        <f>+SUM(START:END!L70)</f>
        <v>0</v>
      </c>
      <c r="M70" s="26"/>
      <c r="N70" s="39" t="e">
        <f t="shared" si="16"/>
        <v>#N/A</v>
      </c>
      <c r="O70" s="26"/>
      <c r="P70" s="7"/>
      <c r="Q70" s="39">
        <f>+SUM(START:END!Q70)</f>
        <v>0</v>
      </c>
      <c r="R70" s="26"/>
      <c r="S70" s="39">
        <f t="shared" si="17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260" t="str">
        <f t="shared" si="1"/>
        <v>Véhicules neufs[...]</v>
      </c>
      <c r="B71" s="7" t="str">
        <f t="shared" si="0"/>
        <v>Véhicules neufs</v>
      </c>
      <c r="C71" s="26" t="s">
        <v>19</v>
      </c>
      <c r="D71" s="54"/>
      <c r="E71" s="7"/>
      <c r="F71" s="19" t="e">
        <f>+SUM(START:END!F71)</f>
        <v>#N/A</v>
      </c>
      <c r="G71" s="56"/>
      <c r="H71" s="7"/>
      <c r="I71" s="19">
        <f>+SUM(START:END!I71)</f>
        <v>0</v>
      </c>
      <c r="J71" s="26"/>
      <c r="K71" s="7"/>
      <c r="L71" s="39">
        <f>+SUM(START:END!L71)</f>
        <v>0</v>
      </c>
      <c r="M71" s="26"/>
      <c r="N71" s="39" t="e">
        <f t="shared" si="16"/>
        <v>#N/A</v>
      </c>
      <c r="O71" s="26"/>
      <c r="P71" s="7"/>
      <c r="Q71" s="39">
        <f>+SUM(START:END!Q71)</f>
        <v>0</v>
      </c>
      <c r="R71" s="26"/>
      <c r="S71" s="39">
        <f t="shared" si="17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tr">
        <f t="shared" si="1"/>
        <v>Véhicules neufsTOTAL SEMI-FIXES</v>
      </c>
      <c r="B72" s="7" t="str">
        <f t="shared" si="0"/>
        <v>Véhicules neufs</v>
      </c>
      <c r="C72" s="139" t="s">
        <v>63</v>
      </c>
      <c r="D72" s="62" t="s">
        <v>38</v>
      </c>
      <c r="E72" s="63" t="e">
        <f>F72/F$27</f>
        <v>#N/A</v>
      </c>
      <c r="F72" s="64" t="e">
        <f>+SUM(F55:F71)</f>
        <v>#N/A</v>
      </c>
      <c r="G72" s="65" t="s">
        <v>38</v>
      </c>
      <c r="H72" s="63" t="e">
        <f>I72/I$27</f>
        <v>#DIV/0!</v>
      </c>
      <c r="I72" s="64">
        <f>+SUM(I55:I71)</f>
        <v>0</v>
      </c>
      <c r="J72" s="65" t="s">
        <v>38</v>
      </c>
      <c r="K72" s="63">
        <f>L72/L$27</f>
        <v>0.12623325778131442</v>
      </c>
      <c r="L72" s="64">
        <f>+SUM(L55:L71)</f>
        <v>70420.849999999991</v>
      </c>
      <c r="M72" s="66"/>
      <c r="N72" s="64" t="e">
        <f>+SUM(N55:N71)</f>
        <v>#N/A</v>
      </c>
      <c r="O72" s="65" t="s">
        <v>38</v>
      </c>
      <c r="P72" s="63">
        <f>Q72/Q$27</f>
        <v>0.13186939965985078</v>
      </c>
      <c r="Q72" s="64">
        <f>+SUM(Q55:Q71)</f>
        <v>114519.41</v>
      </c>
      <c r="R72" s="67"/>
      <c r="S72" s="64">
        <f>+SUM(S55:S71)</f>
        <v>-44098.559999999998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tr">
        <f t="shared" si="1"/>
        <v>Véhicules neufs</v>
      </c>
      <c r="B73" s="7" t="str">
        <f t="shared" si="0"/>
        <v>Véhicules neufs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tr">
        <f t="shared" si="1"/>
        <v>Véhicules neufsTOTAL DES DÉPENSES</v>
      </c>
      <c r="B74" s="7" t="str">
        <f t="shared" si="0"/>
        <v>Véhicules neufs</v>
      </c>
      <c r="C74" s="139" t="s">
        <v>64</v>
      </c>
      <c r="D74" s="62" t="s">
        <v>38</v>
      </c>
      <c r="E74" s="63" t="e">
        <f>F74/F$27</f>
        <v>#N/A</v>
      </c>
      <c r="F74" s="64" t="e">
        <f>F41+F54+F72</f>
        <v>#N/A</v>
      </c>
      <c r="G74" s="65" t="s">
        <v>38</v>
      </c>
      <c r="H74" s="63" t="e">
        <f>I74/I$27</f>
        <v>#DIV/0!</v>
      </c>
      <c r="I74" s="64">
        <f>I41+I54+I72</f>
        <v>0</v>
      </c>
      <c r="J74" s="65" t="s">
        <v>38</v>
      </c>
      <c r="K74" s="63">
        <f>L74/L$27</f>
        <v>0.3781357637895526</v>
      </c>
      <c r="L74" s="64">
        <f>L41+L54+L72</f>
        <v>210947.90999999997</v>
      </c>
      <c r="M74" s="66"/>
      <c r="N74" s="64" t="e">
        <f t="shared" ref="N74:N82" si="18">L74-F74</f>
        <v>#N/A</v>
      </c>
      <c r="O74" s="65" t="s">
        <v>38</v>
      </c>
      <c r="P74" s="63">
        <f>Q74/Q$27</f>
        <v>0.23711347958053239</v>
      </c>
      <c r="Q74" s="64">
        <f>Q41+Q54+Q72</f>
        <v>205916.57999999987</v>
      </c>
      <c r="R74" s="67"/>
      <c r="S74" s="64">
        <f>L74-Q74</f>
        <v>5031.3300000001036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260" t="str">
        <f t="shared" si="1"/>
        <v>Véhicules neufsRBSC neuf</v>
      </c>
      <c r="B75" s="7" t="str">
        <f t="shared" si="0"/>
        <v>Véhicules neufs</v>
      </c>
      <c r="C75" s="26" t="s">
        <v>213</v>
      </c>
      <c r="D75" s="54"/>
      <c r="E75" s="7"/>
      <c r="F75" s="19" t="e">
        <f>+SUM(START:END!F75)</f>
        <v>#N/A</v>
      </c>
      <c r="G75" s="56"/>
      <c r="H75" s="7"/>
      <c r="I75" s="19">
        <f>+SUM(START:END!I75)</f>
        <v>0</v>
      </c>
      <c r="J75" s="26"/>
      <c r="K75" s="7"/>
      <c r="L75" s="39">
        <f>+SUM(START:END!L75)</f>
        <v>89171.54</v>
      </c>
      <c r="M75" s="26"/>
      <c r="N75" s="39" t="e">
        <f t="shared" si="18"/>
        <v>#N/A</v>
      </c>
      <c r="O75" s="26"/>
      <c r="P75" s="7"/>
      <c r="Q75" s="39">
        <f>+SUM(START:END!Q75)</f>
        <v>77373.09</v>
      </c>
      <c r="R75" s="26"/>
      <c r="S75" s="39">
        <f>L75-Q75</f>
        <v>11798.449999999997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20.45" hidden="1" customHeight="1">
      <c r="A76" s="260" t="str">
        <f t="shared" si="1"/>
        <v>Véhicules neufsProgramme neuf 2</v>
      </c>
      <c r="B76" s="7" t="str">
        <f t="shared" si="0"/>
        <v>Véhicules neufs</v>
      </c>
      <c r="C76" s="300" t="s">
        <v>186</v>
      </c>
      <c r="D76" s="54"/>
      <c r="E76" s="7"/>
      <c r="F76" s="19" t="e">
        <f>+SUM(START:END!F76)</f>
        <v>#N/A</v>
      </c>
      <c r="G76" s="56"/>
      <c r="H76" s="7"/>
      <c r="I76" s="19">
        <f>+SUM(START:END!I76)</f>
        <v>0</v>
      </c>
      <c r="J76" s="26"/>
      <c r="K76" s="7"/>
      <c r="L76" s="39">
        <f>+SUM(START:END!L76)</f>
        <v>0</v>
      </c>
      <c r="M76" s="26"/>
      <c r="N76" s="39" t="e">
        <f t="shared" si="18"/>
        <v>#N/A</v>
      </c>
      <c r="O76" s="26"/>
      <c r="P76" s="7"/>
      <c r="Q76" s="39">
        <f>+SUM(START:END!Q76)</f>
        <v>0</v>
      </c>
      <c r="R76" s="26"/>
      <c r="S76" s="39">
        <f>L76-Q76</f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20.45" hidden="1" customHeight="1">
      <c r="A77" s="260" t="str">
        <f t="shared" si="1"/>
        <v>Véhicules neufsProgramme neuf 3</v>
      </c>
      <c r="B77" s="7" t="str">
        <f t="shared" si="0"/>
        <v>Véhicules neufs</v>
      </c>
      <c r="C77" s="300" t="s">
        <v>65</v>
      </c>
      <c r="D77" s="54"/>
      <c r="E77" s="7"/>
      <c r="F77" s="19" t="e">
        <f>+SUM(START:END!F77)</f>
        <v>#N/A</v>
      </c>
      <c r="G77" s="56"/>
      <c r="H77" s="7"/>
      <c r="I77" s="19">
        <f>+SUM(START:END!I77)</f>
        <v>0</v>
      </c>
      <c r="J77" s="26"/>
      <c r="K77" s="7"/>
      <c r="L77" s="39">
        <f>+SUM(START:END!L77)</f>
        <v>0</v>
      </c>
      <c r="M77" s="26"/>
      <c r="N77" s="39" t="e">
        <f t="shared" si="18"/>
        <v>#N/A</v>
      </c>
      <c r="O77" s="26"/>
      <c r="P77" s="7"/>
      <c r="Q77" s="39">
        <f>+SUM(START:END!Q77)</f>
        <v>0</v>
      </c>
      <c r="R77" s="26"/>
      <c r="S77" s="39">
        <f t="shared" ref="S77:S82" si="19">L77-Q77</f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20.45" hidden="1" customHeight="1">
      <c r="A78" s="260" t="str">
        <f t="shared" si="1"/>
        <v>Véhicules neufsHoldbacks</v>
      </c>
      <c r="B78" s="7" t="str">
        <f t="shared" si="0"/>
        <v>Véhicules neufs</v>
      </c>
      <c r="C78" s="300" t="s">
        <v>66</v>
      </c>
      <c r="D78" s="54"/>
      <c r="E78" s="301"/>
      <c r="F78" s="19" t="e">
        <f>+SUM(START:END!F78)</f>
        <v>#N/A</v>
      </c>
      <c r="G78" s="56"/>
      <c r="H78" s="7"/>
      <c r="I78" s="19">
        <f>+SUM(START:END!I78)</f>
        <v>0</v>
      </c>
      <c r="J78" s="302"/>
      <c r="K78" s="301"/>
      <c r="L78" s="39">
        <f>+SUM(START:END!L78)</f>
        <v>0</v>
      </c>
      <c r="M78" s="26"/>
      <c r="N78" s="39" t="e">
        <f t="shared" si="18"/>
        <v>#N/A</v>
      </c>
      <c r="O78" s="302"/>
      <c r="P78" s="301"/>
      <c r="Q78" s="39">
        <f>+SUM(START:END!Q78)</f>
        <v>0</v>
      </c>
      <c r="R78" s="26"/>
      <c r="S78" s="39">
        <f t="shared" si="19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20.45" hidden="1" customHeight="1">
      <c r="A79" s="260" t="str">
        <f t="shared" si="1"/>
        <v>Véhicules neufs[...]</v>
      </c>
      <c r="B79" s="7" t="str">
        <f t="shared" si="0"/>
        <v>Véhicules neufs</v>
      </c>
      <c r="C79" s="300" t="s">
        <v>19</v>
      </c>
      <c r="D79" s="54"/>
      <c r="E79" s="7"/>
      <c r="F79" s="19" t="e">
        <f>+SUM(START:END!F79)</f>
        <v>#N/A</v>
      </c>
      <c r="G79" s="56"/>
      <c r="H79" s="7"/>
      <c r="I79" s="19">
        <f>+SUM(START:END!I79)</f>
        <v>0</v>
      </c>
      <c r="J79" s="26"/>
      <c r="K79" s="7"/>
      <c r="L79" s="39">
        <f>+SUM(START:END!L79)</f>
        <v>0</v>
      </c>
      <c r="M79" s="26"/>
      <c r="N79" s="39" t="e">
        <f t="shared" si="18"/>
        <v>#N/A</v>
      </c>
      <c r="O79" s="26"/>
      <c r="P79" s="7"/>
      <c r="Q79" s="39">
        <f>+SUM(START:END!Q79)</f>
        <v>0</v>
      </c>
      <c r="R79" s="26"/>
      <c r="S79" s="39">
        <f>L79-Q79</f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20.45" hidden="1" customHeight="1">
      <c r="A80" s="260" t="str">
        <f t="shared" si="1"/>
        <v>Véhicules neufs[...]</v>
      </c>
      <c r="B80" s="7" t="str">
        <f t="shared" si="0"/>
        <v>Véhicules neufs</v>
      </c>
      <c r="C80" s="300" t="s">
        <v>19</v>
      </c>
      <c r="D80" s="54"/>
      <c r="E80" s="7"/>
      <c r="F80" s="19" t="e">
        <f>+SUM(START:END!F80)</f>
        <v>#N/A</v>
      </c>
      <c r="G80" s="56"/>
      <c r="H80" s="7"/>
      <c r="I80" s="19">
        <f>+SUM(START:END!I80)</f>
        <v>0</v>
      </c>
      <c r="J80" s="26"/>
      <c r="K80" s="7"/>
      <c r="L80" s="39">
        <f>+SUM(START:END!L80)</f>
        <v>0</v>
      </c>
      <c r="M80" s="26"/>
      <c r="N80" s="39" t="e">
        <f t="shared" si="18"/>
        <v>#N/A</v>
      </c>
      <c r="O80" s="26"/>
      <c r="P80" s="7"/>
      <c r="Q80" s="39">
        <f>+SUM(START:END!Q80)</f>
        <v>0</v>
      </c>
      <c r="R80" s="26"/>
      <c r="S80" s="39">
        <f>L80-Q80</f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20.45" hidden="1" customHeight="1">
      <c r="A81" s="260" t="str">
        <f t="shared" si="1"/>
        <v>Véhicules neufs[...]</v>
      </c>
      <c r="B81" s="7" t="str">
        <f t="shared" si="0"/>
        <v>Véhicules neufs</v>
      </c>
      <c r="C81" s="300" t="s">
        <v>19</v>
      </c>
      <c r="D81" s="54"/>
      <c r="E81" s="7"/>
      <c r="F81" s="19" t="e">
        <f>+SUM(START:END!F81)</f>
        <v>#N/A</v>
      </c>
      <c r="G81" s="56"/>
      <c r="H81" s="7"/>
      <c r="I81" s="19">
        <f>+SUM(START:END!I81)</f>
        <v>0</v>
      </c>
      <c r="J81" s="26"/>
      <c r="K81" s="7"/>
      <c r="L81" s="39">
        <f>+SUM(START:END!L81)</f>
        <v>0</v>
      </c>
      <c r="M81" s="26"/>
      <c r="N81" s="39" t="e">
        <f t="shared" si="18"/>
        <v>#N/A</v>
      </c>
      <c r="O81" s="26"/>
      <c r="P81" s="7"/>
      <c r="Q81" s="39">
        <f>+SUM(START:END!Q81)</f>
        <v>0</v>
      </c>
      <c r="R81" s="26"/>
      <c r="S81" s="39">
        <f>L81-Q81</f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tr">
        <f t="shared" si="1"/>
        <v>Véhicules neufsFrais administration</v>
      </c>
      <c r="B82" s="7" t="str">
        <f t="shared" si="0"/>
        <v>Véhicules neufs</v>
      </c>
      <c r="C82" s="26" t="s">
        <v>67</v>
      </c>
      <c r="D82" s="303"/>
      <c r="E82" s="274"/>
      <c r="F82" s="19" t="e">
        <f>+SUM(START:END!F82)</f>
        <v>#N/A</v>
      </c>
      <c r="G82" s="56"/>
      <c r="H82" s="7"/>
      <c r="I82" s="19">
        <f>+SUM(START:END!I82)</f>
        <v>0</v>
      </c>
      <c r="J82" s="275"/>
      <c r="K82" s="274"/>
      <c r="L82" s="39">
        <f>+SUM(START:END!L82)</f>
        <v>96182</v>
      </c>
      <c r="M82" s="26"/>
      <c r="N82" s="39" t="e">
        <f t="shared" si="18"/>
        <v>#N/A</v>
      </c>
      <c r="O82" s="275"/>
      <c r="P82" s="274"/>
      <c r="Q82" s="39">
        <f>+SUM(START:END!Q82)</f>
        <v>0</v>
      </c>
      <c r="R82" s="26"/>
      <c r="S82" s="39">
        <f t="shared" si="19"/>
        <v>96182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tr">
        <f t="shared" si="1"/>
        <v>Véhicules neufsAUTRES REVENUS</v>
      </c>
      <c r="B83" s="7" t="str">
        <f t="shared" si="0"/>
        <v>Véhicules neufs</v>
      </c>
      <c r="C83" s="139" t="s">
        <v>68</v>
      </c>
      <c r="D83" s="62"/>
      <c r="E83" s="63"/>
      <c r="F83" s="64" t="e">
        <f>+SUM(F75:F82)</f>
        <v>#N/A</v>
      </c>
      <c r="G83" s="65"/>
      <c r="H83" s="63"/>
      <c r="I83" s="64">
        <f>+SUM(I75:I82)</f>
        <v>0</v>
      </c>
      <c r="J83" s="65"/>
      <c r="K83" s="63"/>
      <c r="L83" s="64">
        <f>+SUM(L75:L82)</f>
        <v>185353.53999999998</v>
      </c>
      <c r="M83" s="66"/>
      <c r="N83" s="64" t="e">
        <f>+SUM(N75:N82)</f>
        <v>#N/A</v>
      </c>
      <c r="O83" s="65"/>
      <c r="P83" s="63"/>
      <c r="Q83" s="64">
        <f>+SUM(Q75:Q82)</f>
        <v>77373.09</v>
      </c>
      <c r="R83" s="67"/>
      <c r="S83" s="64">
        <f>+SUM(S75:S82)</f>
        <v>107980.45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tr">
        <f t="shared" si="1"/>
        <v>Véhicules neufs</v>
      </c>
      <c r="B84" s="7" t="str">
        <f t="shared" si="0"/>
        <v>Véhicules neufs</v>
      </c>
      <c r="C84" s="304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tr">
        <f t="shared" si="1"/>
        <v>Véhicules neufsPROFIT DÉPARTEMENTAL</v>
      </c>
      <c r="B85" s="7" t="str">
        <f t="shared" si="0"/>
        <v>Véhicules neufs</v>
      </c>
      <c r="C85" s="276" t="s">
        <v>69</v>
      </c>
      <c r="D85" s="277"/>
      <c r="E85" s="278"/>
      <c r="F85" s="138" t="e">
        <f>F27-F74+F83</f>
        <v>#N/A</v>
      </c>
      <c r="G85" s="279"/>
      <c r="H85" s="278"/>
      <c r="I85" s="138">
        <f>I27-I74+I83</f>
        <v>0</v>
      </c>
      <c r="J85" s="279"/>
      <c r="K85" s="278"/>
      <c r="L85" s="138">
        <f>L27-L74+L83</f>
        <v>532268.52000000747</v>
      </c>
      <c r="M85" s="280"/>
      <c r="N85" s="138" t="e">
        <f>N27-N41-N54-N72+N83</f>
        <v>#N/A</v>
      </c>
      <c r="O85" s="279"/>
      <c r="P85" s="278"/>
      <c r="Q85" s="138">
        <f>Q27-Q74+Q83</f>
        <v>739887.02000001504</v>
      </c>
      <c r="R85" s="281"/>
      <c r="S85" s="138">
        <f>S27-S41-S54-S72+S83</f>
        <v>-207618.50000000757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5"/>
      <c r="K86" s="82"/>
      <c r="L86" s="306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  Q3 2026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426" t="s">
        <v>5</v>
      </c>
      <c r="E91" s="427"/>
      <c r="F91" s="425"/>
      <c r="G91" s="424" t="s">
        <v>71</v>
      </c>
      <c r="H91" s="427"/>
      <c r="I91" s="425"/>
      <c r="J91" s="424" t="s">
        <v>7</v>
      </c>
      <c r="K91" s="427"/>
      <c r="L91" s="425"/>
      <c r="M91" s="424" t="s">
        <v>210</v>
      </c>
      <c r="N91" s="425"/>
      <c r="O91" s="426" t="s">
        <v>8</v>
      </c>
      <c r="P91" s="427"/>
      <c r="Q91" s="425"/>
      <c r="R91" s="424" t="s">
        <v>211</v>
      </c>
      <c r="S91" s="425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 t="s">
        <v>10</v>
      </c>
      <c r="H92" s="9" t="s">
        <v>11</v>
      </c>
      <c r="I92" s="10" t="s">
        <v>12</v>
      </c>
      <c r="J92" s="11" t="s">
        <v>10</v>
      </c>
      <c r="K92" s="9" t="s">
        <v>13</v>
      </c>
      <c r="L92" s="10" t="s">
        <v>12</v>
      </c>
      <c r="M92" s="11" t="s">
        <v>212</v>
      </c>
      <c r="N92" s="10" t="s">
        <v>214</v>
      </c>
      <c r="O92" s="9" t="s">
        <v>10</v>
      </c>
      <c r="P92" s="9" t="s">
        <v>13</v>
      </c>
      <c r="Q92" s="10" t="s">
        <v>12</v>
      </c>
      <c r="R92" s="11" t="s">
        <v>10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tr">
        <f t="shared" ref="A93:A99" si="20">+B93&amp;C93</f>
        <v>Véhicules usagésVentes nettes</v>
      </c>
      <c r="B93" s="7" t="s">
        <v>70</v>
      </c>
      <c r="C93" s="14" t="s">
        <v>14</v>
      </c>
      <c r="D93" s="30"/>
      <c r="E93" s="30"/>
      <c r="F93" s="31" t="e">
        <f>+SUM(START:END!F93)</f>
        <v>#N/A</v>
      </c>
      <c r="G93" s="34"/>
      <c r="H93" s="30"/>
      <c r="I93" s="31">
        <f>+SUM(START:END!I93)</f>
        <v>0</v>
      </c>
      <c r="J93" s="14"/>
      <c r="K93" s="58"/>
      <c r="L93" s="61">
        <f>+SUM(START:END!L93)</f>
        <v>4914042.3899999987</v>
      </c>
      <c r="M93" s="86"/>
      <c r="N93" s="87"/>
      <c r="O93" s="14"/>
      <c r="P93" s="58"/>
      <c r="Q93" s="61">
        <f>+SUM(START:END!Q93)</f>
        <v>8423659.0399999991</v>
      </c>
      <c r="R93" s="307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tr">
        <f t="shared" si="20"/>
        <v>Véhicules usagésCertifié</v>
      </c>
      <c r="B94" s="7" t="s">
        <v>70</v>
      </c>
      <c r="C94" s="26" t="s">
        <v>72</v>
      </c>
      <c r="D94" s="19" t="e">
        <f>+SUM(START:END!D94)</f>
        <v>#N/A</v>
      </c>
      <c r="E94" s="19" t="e">
        <f>IF(D94=0,0,F94/D94)</f>
        <v>#N/A</v>
      </c>
      <c r="F94" s="19" t="e">
        <f>+SUM(START:END!F94)</f>
        <v>#N/A</v>
      </c>
      <c r="G94" s="20">
        <f>+SUM(START:END!G94)</f>
        <v>0</v>
      </c>
      <c r="H94" s="19">
        <f t="shared" ref="H94:H98" si="21">IF(G94=0,0,I94/G94)</f>
        <v>0</v>
      </c>
      <c r="I94" s="19">
        <f>+SUM(START:END!I94)</f>
        <v>0</v>
      </c>
      <c r="J94" s="20">
        <f>+SUM(START:END!J94)</f>
        <v>0</v>
      </c>
      <c r="K94" s="55">
        <f>IF(J94=0,0,L94/J94)</f>
        <v>0</v>
      </c>
      <c r="L94" s="39">
        <f>+SUM(START:END!L94)</f>
        <v>0</v>
      </c>
      <c r="M94" s="20" t="e">
        <f>J94-D94</f>
        <v>#N/A</v>
      </c>
      <c r="N94" s="21" t="e">
        <f>L94-F94</f>
        <v>#N/A</v>
      </c>
      <c r="O94" s="20">
        <f>+SUM(START:END!O94)</f>
        <v>0</v>
      </c>
      <c r="P94" s="55">
        <f>IF(O94=0,0,Q94/O94)</f>
        <v>0</v>
      </c>
      <c r="Q94" s="39">
        <f>+SUM(START:END!Q94)</f>
        <v>0</v>
      </c>
      <c r="R94" s="20">
        <f>J94-O94</f>
        <v>0</v>
      </c>
      <c r="S94" s="39">
        <f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tr">
        <f t="shared" si="20"/>
        <v>Véhicules usagésNon Certifié</v>
      </c>
      <c r="B95" s="7" t="s">
        <v>70</v>
      </c>
      <c r="C95" s="26" t="s">
        <v>73</v>
      </c>
      <c r="D95" s="19" t="e">
        <f>+SUM(START:END!D95)</f>
        <v>#N/A</v>
      </c>
      <c r="E95" s="19" t="e">
        <f>IF(D95=0,0,F95/D95)</f>
        <v>#N/A</v>
      </c>
      <c r="F95" s="19" t="e">
        <f>+SUM(START:END!F95)</f>
        <v>#N/A</v>
      </c>
      <c r="G95" s="20">
        <f>+SUM(START:END!G95)</f>
        <v>0</v>
      </c>
      <c r="H95" s="19">
        <f t="shared" si="21"/>
        <v>0</v>
      </c>
      <c r="I95" s="19">
        <f>+SUM(START:END!I95)</f>
        <v>0</v>
      </c>
      <c r="J95" s="20">
        <f>+SUM(START:END!J95)</f>
        <v>69</v>
      </c>
      <c r="K95" s="55">
        <f>IF(J95=0,0,L95/J95)</f>
        <v>936.93043478261143</v>
      </c>
      <c r="L95" s="39">
        <f>+SUM(START:END!L95)</f>
        <v>64648.200000000186</v>
      </c>
      <c r="M95" s="20" t="e">
        <f>J95-D95</f>
        <v>#N/A</v>
      </c>
      <c r="N95" s="21" t="e">
        <f>L95-F95</f>
        <v>#N/A</v>
      </c>
      <c r="O95" s="20">
        <f>+SUM(START:END!O95)</f>
        <v>42</v>
      </c>
      <c r="P95" s="55">
        <f>IF(O95=0,0,Q95/O95)</f>
        <v>842.59714285713903</v>
      </c>
      <c r="Q95" s="39">
        <f>+SUM(START:END!Q95)</f>
        <v>35389.079999999842</v>
      </c>
      <c r="R95" s="20">
        <f>J95-O95</f>
        <v>27</v>
      </c>
      <c r="S95" s="39">
        <f>L95-Q95</f>
        <v>29259.120000000345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+B96&amp;C96</f>
        <v>Véhicules usagésAutres marques</v>
      </c>
      <c r="B96" s="7" t="s">
        <v>70</v>
      </c>
      <c r="C96" s="26" t="s">
        <v>205</v>
      </c>
      <c r="D96" s="19" t="e">
        <f>+SUM(START:END!D96)</f>
        <v>#N/A</v>
      </c>
      <c r="E96" s="30" t="e">
        <f>IF(D96=0,0,F96/D96)</f>
        <v>#N/A</v>
      </c>
      <c r="F96" s="19" t="e">
        <f>+SUM(START:END!F96)</f>
        <v>#N/A</v>
      </c>
      <c r="G96" s="20">
        <f>+SUM(START:END!G96)</f>
        <v>0</v>
      </c>
      <c r="H96" s="19">
        <f t="shared" si="21"/>
        <v>0</v>
      </c>
      <c r="I96" s="19">
        <f>+SUM(START:END!I96)</f>
        <v>0</v>
      </c>
      <c r="J96" s="20">
        <f>+SUM(START:END!J96)</f>
        <v>0</v>
      </c>
      <c r="K96" s="58">
        <f>IF(J96=0,0,L96/J96)</f>
        <v>0</v>
      </c>
      <c r="L96" s="39">
        <f>+SUM(START:END!L96)</f>
        <v>0</v>
      </c>
      <c r="M96" s="20" t="e">
        <f>J96-D96</f>
        <v>#N/A</v>
      </c>
      <c r="N96" s="21" t="e">
        <f>L96-F96</f>
        <v>#N/A</v>
      </c>
      <c r="O96" s="20">
        <f>+SUM(START:END!O96)</f>
        <v>0</v>
      </c>
      <c r="P96" s="58">
        <f>IF(O96=0,0,Q96/O96)</f>
        <v>0</v>
      </c>
      <c r="Q96" s="39">
        <f>+SUM(START:END!Q96)</f>
        <v>0</v>
      </c>
      <c r="R96" s="20">
        <f>J96-O96</f>
        <v>0</v>
      </c>
      <c r="S96" s="39">
        <f>L96-Q96</f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8.75" customHeight="1">
      <c r="A97" s="260" t="str">
        <f t="shared" si="20"/>
        <v>Véhicules usagésTotal Usagés</v>
      </c>
      <c r="B97" s="7" t="s">
        <v>70</v>
      </c>
      <c r="C97" s="289" t="s">
        <v>74</v>
      </c>
      <c r="D97" s="22" t="e">
        <f>+D95+D94+D96</f>
        <v>#N/A</v>
      </c>
      <c r="E97" s="290" t="e">
        <f>IF(D97=0,0,F97/D97)</f>
        <v>#N/A</v>
      </c>
      <c r="F97" s="23" t="e">
        <f>+F94+F95+F96</f>
        <v>#N/A</v>
      </c>
      <c r="G97" s="24">
        <f>+G95+G94+G96</f>
        <v>0</v>
      </c>
      <c r="H97" s="22">
        <f t="shared" si="21"/>
        <v>0</v>
      </c>
      <c r="I97" s="23">
        <f>+I94+I95+I96</f>
        <v>0</v>
      </c>
      <c r="J97" s="24">
        <f>+J95+J94+J96</f>
        <v>69</v>
      </c>
      <c r="K97" s="74">
        <f>IF(J97=0,0,L97/J97)</f>
        <v>936.93043478261143</v>
      </c>
      <c r="L97" s="123">
        <f>+L94+L95+L96</f>
        <v>64648.200000000186</v>
      </c>
      <c r="M97" s="24" t="e">
        <f>J97-D97</f>
        <v>#N/A</v>
      </c>
      <c r="N97" s="23" t="e">
        <f>L97-F97</f>
        <v>#N/A</v>
      </c>
      <c r="O97" s="22">
        <f>+O95+O94+O96</f>
        <v>42</v>
      </c>
      <c r="P97" s="74">
        <f>IF(O97&lt;=0,0,Q97/O97)</f>
        <v>842.59714285713903</v>
      </c>
      <c r="Q97" s="123">
        <f>+Q94+Q95+Q96</f>
        <v>35389.079999999842</v>
      </c>
      <c r="R97" s="24">
        <f>J97-O97</f>
        <v>27</v>
      </c>
      <c r="S97" s="123">
        <f>L97-Q97</f>
        <v>29259.120000000345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0"/>
        <v>Véhicules usagés</v>
      </c>
      <c r="B98" s="7" t="s">
        <v>70</v>
      </c>
      <c r="C98" s="52"/>
      <c r="D98" s="50"/>
      <c r="E98" s="290"/>
      <c r="F98" s="51"/>
      <c r="G98" s="52"/>
      <c r="H98" s="50">
        <f t="shared" si="21"/>
        <v>0</v>
      </c>
      <c r="I98" s="51"/>
      <c r="J98" s="52"/>
      <c r="K98" s="74"/>
      <c r="L98" s="112"/>
      <c r="M98" s="308" t="e">
        <f>M97/D97</f>
        <v>#N/A</v>
      </c>
      <c r="N98" s="309" t="e">
        <f>N97/F97</f>
        <v>#N/A</v>
      </c>
      <c r="O98" s="52"/>
      <c r="P98" s="74"/>
      <c r="Q98" s="112"/>
      <c r="R98" s="291">
        <f>R97/O97</f>
        <v>0.6428571428571429</v>
      </c>
      <c r="S98" s="28">
        <f>IF(Q97=0,0,(S97/Q97))</f>
        <v>0.82678385535878518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0"/>
        <v>Véhicules neufsRachat bail</v>
      </c>
      <c r="B99" s="7" t="str">
        <f t="shared" ref="B99" si="22">+$K$1</f>
        <v>Véhicules neufs</v>
      </c>
      <c r="C99" s="52" t="s">
        <v>23</v>
      </c>
      <c r="D99" s="19"/>
      <c r="E99" s="19"/>
      <c r="F99" s="19">
        <f>+SUM(START:END!F99)</f>
        <v>0</v>
      </c>
      <c r="G99" s="20"/>
      <c r="H99" s="19"/>
      <c r="I99" s="19">
        <f>+SUM(START:END!I99)</f>
        <v>0</v>
      </c>
      <c r="J99" s="20"/>
      <c r="K99" s="55"/>
      <c r="L99" s="39">
        <f>+SUM(START:END!L99)</f>
        <v>0</v>
      </c>
      <c r="M99" s="20"/>
      <c r="N99" s="21">
        <f>L99-F99</f>
        <v>0</v>
      </c>
      <c r="O99" s="20"/>
      <c r="P99" s="55"/>
      <c r="Q99" s="39">
        <f>+SUM(START:END!Q99)</f>
        <v>0</v>
      </c>
      <c r="R99" s="20">
        <f>O99-K99</f>
        <v>0</v>
      </c>
      <c r="S99" s="39">
        <f>L99-Q99</f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ref="A100" si="23">+B100&amp;C100</f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7.25" customHeight="1">
      <c r="A101" s="260" t="str">
        <f t="shared" ref="A101" si="24">+B101&amp;C101</f>
        <v>Véhicules usagésVentes au Gros</v>
      </c>
      <c r="B101" s="7" t="s">
        <v>70</v>
      </c>
      <c r="C101" s="52" t="s">
        <v>75</v>
      </c>
      <c r="D101" s="19" t="e">
        <f>+SUM(START:END!D101)</f>
        <v>#N/A</v>
      </c>
      <c r="E101" s="19" t="e">
        <f>IF(D101=0,0,F101/D101)</f>
        <v>#N/A</v>
      </c>
      <c r="F101" s="19" t="e">
        <f>+SUM(START:END!F101)</f>
        <v>#N/A</v>
      </c>
      <c r="G101" s="20">
        <f>+SUM(START:END!G101)</f>
        <v>0</v>
      </c>
      <c r="H101" s="19">
        <f t="shared" ref="H101" si="25">IF(G101=0,0,I101/G101)</f>
        <v>0</v>
      </c>
      <c r="I101" s="19">
        <f>+SUM(START:END!I101)</f>
        <v>0</v>
      </c>
      <c r="J101" s="20">
        <f>+SUM(START:END!J101)</f>
        <v>79</v>
      </c>
      <c r="K101" s="55">
        <f>IF(J101=0,0,L101/J101)</f>
        <v>-7.364050632915931</v>
      </c>
      <c r="L101" s="39">
        <f>+SUM(START:END!L101)</f>
        <v>-581.76000000035856</v>
      </c>
      <c r="M101" s="20" t="e">
        <f>J101-D101</f>
        <v>#N/A</v>
      </c>
      <c r="N101" s="21" t="e">
        <f>L101-F101</f>
        <v>#N/A</v>
      </c>
      <c r="O101" s="20">
        <f>+SUM(START:END!O101)</f>
        <v>194</v>
      </c>
      <c r="P101" s="55">
        <f>IF(O101=0,0,Q101/O101)</f>
        <v>751.20443298968905</v>
      </c>
      <c r="Q101" s="39">
        <f>+SUM(START:END!Q101)</f>
        <v>145733.65999999968</v>
      </c>
      <c r="R101" s="20">
        <f>J101-O101</f>
        <v>-115</v>
      </c>
      <c r="S101" s="39">
        <f>L101-Q101</f>
        <v>-146315.42000000004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tr">
        <f t="shared" ref="A102" si="26">+B102&amp;C102</f>
        <v>Véhicules usagés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tr">
        <f t="shared" ref="A103" si="27">+B103&amp;C103</f>
        <v>Véhicules usagésRev. Finances</v>
      </c>
      <c r="B103" s="7" t="s">
        <v>70</v>
      </c>
      <c r="C103" s="26" t="s">
        <v>24</v>
      </c>
      <c r="D103" s="19" t="e">
        <f>+SUM(START:END!D103)</f>
        <v>#N/A</v>
      </c>
      <c r="E103" s="19" t="e">
        <f>IF(D103=0,0,F103/D103)</f>
        <v>#N/A</v>
      </c>
      <c r="F103" s="21" t="e">
        <f>+SUM(START:END!F103)</f>
        <v>#N/A</v>
      </c>
      <c r="G103" s="20">
        <f>+SUM(START:END!G103)</f>
        <v>0</v>
      </c>
      <c r="H103" s="19">
        <f>IF(G103=0,0,I103/G103)</f>
        <v>0</v>
      </c>
      <c r="I103" s="19">
        <f>+SUM(START:END!I103)</f>
        <v>0</v>
      </c>
      <c r="J103" s="20">
        <f>+SUM(START:END!J103)</f>
        <v>0</v>
      </c>
      <c r="K103" s="410">
        <f>IF(J97=0,0,L103/J97)</f>
        <v>536.35130434782604</v>
      </c>
      <c r="L103" s="39">
        <f>+SUM(START:END!L103)</f>
        <v>37008.239999999998</v>
      </c>
      <c r="M103" s="20"/>
      <c r="N103" s="21" t="e">
        <f>L103-F103</f>
        <v>#N/A</v>
      </c>
      <c r="O103" s="20">
        <f>+SUM(START:END!O103)</f>
        <v>0</v>
      </c>
      <c r="P103" s="410">
        <f>IF(O97=0,0,Q103/O97)</f>
        <v>424.9014285714286</v>
      </c>
      <c r="Q103" s="39">
        <f>+SUM(START:END!Q103)</f>
        <v>17845.86</v>
      </c>
      <c r="R103" s="40">
        <f>O103-K103</f>
        <v>-536.35130434782604</v>
      </c>
      <c r="S103" s="39">
        <f>L103-Q103</f>
        <v>19162.379999999997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tr">
        <f t="shared" ref="A104" si="28">+B104&amp;C104</f>
        <v>Véhicules usagésRev. Protections</v>
      </c>
      <c r="B104" s="7" t="s">
        <v>70</v>
      </c>
      <c r="C104" s="26" t="s">
        <v>25</v>
      </c>
      <c r="D104" s="19" t="e">
        <f>+SUM(START:END!D104)</f>
        <v>#N/A</v>
      </c>
      <c r="E104" s="19" t="e">
        <f>IF(D104=0,0,F104/D104)</f>
        <v>#N/A</v>
      </c>
      <c r="F104" s="21" t="e">
        <f>+SUM(START:END!F104)</f>
        <v>#N/A</v>
      </c>
      <c r="G104" s="20">
        <f>+SUM(START:END!G104)</f>
        <v>0</v>
      </c>
      <c r="H104" s="19">
        <f>IF(G104=0,0,I104/G104)</f>
        <v>0</v>
      </c>
      <c r="I104" s="19">
        <f>+SUM(START:END!I104)</f>
        <v>0</v>
      </c>
      <c r="J104" s="20">
        <f>+SUM(START:END!J104)</f>
        <v>0</v>
      </c>
      <c r="K104" s="410">
        <f>IF(J97=0,0,L104/J97)</f>
        <v>238.97927536231884</v>
      </c>
      <c r="L104" s="39">
        <f>+SUM(START:END!L104)</f>
        <v>16489.57</v>
      </c>
      <c r="M104" s="20"/>
      <c r="N104" s="21" t="e">
        <f>L104-F104</f>
        <v>#N/A</v>
      </c>
      <c r="O104" s="20">
        <f>+SUM(START:END!O104)</f>
        <v>0</v>
      </c>
      <c r="P104" s="410">
        <f>IF(O97=0,0,Q104/O97)</f>
        <v>434.49309523809524</v>
      </c>
      <c r="Q104" s="39">
        <f>+SUM(START:END!Q104)</f>
        <v>18248.71</v>
      </c>
      <c r="R104" s="40">
        <f>O104-K104</f>
        <v>-238.97927536231884</v>
      </c>
      <c r="S104" s="39">
        <f>L104-Q104</f>
        <v>-1759.1399999999994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tr">
        <f t="shared" ref="A105" si="29">+B105&amp;C105</f>
        <v>Véhicules usagésRev. Autres</v>
      </c>
      <c r="B105" s="7" t="s">
        <v>70</v>
      </c>
      <c r="C105" s="26" t="s">
        <v>26</v>
      </c>
      <c r="D105" s="19" t="e">
        <f>+SUM(START:END!D105)</f>
        <v>#N/A</v>
      </c>
      <c r="E105" s="30" t="e">
        <f>IF(D105=0,0,F105/D105)</f>
        <v>#N/A</v>
      </c>
      <c r="F105" s="21" t="e">
        <f>+SUM(START:END!F105)</f>
        <v>#N/A</v>
      </c>
      <c r="G105" s="20">
        <f>+SUM(START:END!G105)</f>
        <v>0</v>
      </c>
      <c r="H105" s="30">
        <f>IF(G105=0,0,I105/G105)</f>
        <v>0</v>
      </c>
      <c r="I105" s="19">
        <f>+SUM(START:END!I105)</f>
        <v>0</v>
      </c>
      <c r="J105" s="20">
        <f>+SUM(START:END!J105)</f>
        <v>0</v>
      </c>
      <c r="K105" s="411">
        <f>IF(J97=0,0,L105/J97)</f>
        <v>0</v>
      </c>
      <c r="L105" s="39">
        <f>+SUM(START:END!L105)</f>
        <v>0</v>
      </c>
      <c r="M105" s="34"/>
      <c r="N105" s="21" t="e">
        <f>L105-F105</f>
        <v>#N/A</v>
      </c>
      <c r="O105" s="20">
        <f>+SUM(START:END!O105)</f>
        <v>0</v>
      </c>
      <c r="P105" s="411">
        <f>IF(O97=0,0,Q105/O97)</f>
        <v>0</v>
      </c>
      <c r="Q105" s="39">
        <f>+SUM(START:END!Q105)</f>
        <v>0</v>
      </c>
      <c r="R105" s="40">
        <f>O105-K105</f>
        <v>0</v>
      </c>
      <c r="S105" s="39">
        <f>L105-Q105</f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tr">
        <f t="shared" ref="A106" si="30">+B106&amp;C106</f>
        <v>Véhicules usagésTotal F&amp;I</v>
      </c>
      <c r="B106" s="7" t="s">
        <v>70</v>
      </c>
      <c r="C106" s="289" t="s">
        <v>27</v>
      </c>
      <c r="D106" s="22">
        <f>D98</f>
        <v>0</v>
      </c>
      <c r="E106" s="290">
        <f>IF(D106=0,0,F106/D106)</f>
        <v>0</v>
      </c>
      <c r="F106" s="23" t="e">
        <f>F103+F104+F105</f>
        <v>#N/A</v>
      </c>
      <c r="G106" s="24">
        <f>G98</f>
        <v>0</v>
      </c>
      <c r="H106" s="22">
        <f>IF(G106=0,0,I106/G106)</f>
        <v>0</v>
      </c>
      <c r="I106" s="23">
        <f>I103+I104+I105</f>
        <v>0</v>
      </c>
      <c r="J106" s="24">
        <f>J97</f>
        <v>69</v>
      </c>
      <c r="K106" s="122">
        <f>IF(J106&lt;=0,0,L106/J106)</f>
        <v>775.33057971014489</v>
      </c>
      <c r="L106" s="123">
        <f>L103+L104+L105</f>
        <v>53497.81</v>
      </c>
      <c r="M106" s="38">
        <f>J106-D106</f>
        <v>69</v>
      </c>
      <c r="N106" s="23" t="e">
        <f>L106-F106</f>
        <v>#N/A</v>
      </c>
      <c r="O106" s="24">
        <f>O97</f>
        <v>42</v>
      </c>
      <c r="P106" s="122">
        <f>IF(O106&lt;=0,0,Q106/O106)</f>
        <v>859.39452380952378</v>
      </c>
      <c r="Q106" s="123">
        <f>Q103+Q104+Q105</f>
        <v>36094.57</v>
      </c>
      <c r="R106" s="124">
        <f>SUM(R103:R105)</f>
        <v>-775.33057971014489</v>
      </c>
      <c r="S106" s="123">
        <f>L106-Q106</f>
        <v>17403.239999999998</v>
      </c>
      <c r="T106" s="7"/>
      <c r="U106" s="19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tr">
        <f t="shared" ref="A107" si="31">+B107&amp;C107</f>
        <v>Véhicules usagés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#N/A</v>
      </c>
      <c r="O107" s="52"/>
      <c r="P107" s="74"/>
      <c r="Q107" s="112"/>
      <c r="R107" s="111"/>
      <c r="S107" s="28">
        <f>IF(Q106=0,0,(S106/Q106))</f>
        <v>0.4821567343786059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tr">
        <f t="shared" ref="A108:A110" si="32">+B108&amp;C108</f>
        <v>Véhicules usagés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tr">
        <f t="shared" si="32"/>
        <v>Véhicules usagésTotal Dépt. Usagés</v>
      </c>
      <c r="B109" s="7" t="s">
        <v>70</v>
      </c>
      <c r="C109" s="264" t="s">
        <v>76</v>
      </c>
      <c r="D109" s="41" t="e">
        <f>D97+D101</f>
        <v>#N/A</v>
      </c>
      <c r="E109" s="42" t="e">
        <f>IF(D109&lt;=0,0,F109/D109)</f>
        <v>#N/A</v>
      </c>
      <c r="F109" s="43" t="e">
        <f>F97+F106+F101+F99</f>
        <v>#N/A</v>
      </c>
      <c r="G109" s="44"/>
      <c r="H109" s="42"/>
      <c r="I109" s="43"/>
      <c r="J109" s="44">
        <f>J97+J101</f>
        <v>148</v>
      </c>
      <c r="K109" s="41">
        <f>IF(J109&lt;=0,0,L109/J109)</f>
        <v>794.35304054053938</v>
      </c>
      <c r="L109" s="43">
        <f>L97+L106+L101+L99</f>
        <v>117564.24999999983</v>
      </c>
      <c r="M109" s="44" t="e">
        <f>J109-D109</f>
        <v>#N/A</v>
      </c>
      <c r="N109" s="43" t="e">
        <f>L109-F109</f>
        <v>#N/A</v>
      </c>
      <c r="O109" s="44">
        <f>O97+O101</f>
        <v>236</v>
      </c>
      <c r="P109" s="41">
        <f>IF(O109&lt;=0,0,Q109/O109)</f>
        <v>920.41233050847256</v>
      </c>
      <c r="Q109" s="43">
        <f>Q97+Q106+Q101+Q99</f>
        <v>217217.30999999953</v>
      </c>
      <c r="R109" s="44">
        <f>J109-O109</f>
        <v>-88</v>
      </c>
      <c r="S109" s="43">
        <f>L109-Q109</f>
        <v>-99653.059999999707</v>
      </c>
      <c r="T109" s="7"/>
      <c r="U109" s="55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tr">
        <f t="shared" si="32"/>
        <v>Véhicules usagés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 t="e">
        <f>M109/D109</f>
        <v>#N/A</v>
      </c>
      <c r="N110" s="49" t="e">
        <f>N109/F109</f>
        <v>#N/A</v>
      </c>
      <c r="O110" s="47"/>
      <c r="P110" s="265"/>
      <c r="Q110" s="266"/>
      <c r="R110" s="48">
        <f>O109/R109</f>
        <v>-2.6818181818181817</v>
      </c>
      <c r="S110" s="267">
        <f>IF(Q109=0,0,(S109/Q109))</f>
        <v>-0.4587712645921263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tr">
        <f t="shared" ref="A111" si="33">+B111&amp;C111</f>
        <v>Véhicules usagés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tr">
        <f t="shared" ref="A112" si="34">+B112&amp;C112</f>
        <v>Véhicules usagésDEPENSES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tr">
        <f t="shared" ref="A113" si="35">+B113&amp;C113</f>
        <v>Véhicules usagésComm. vendeurs</v>
      </c>
      <c r="B113" s="7" t="s">
        <v>70</v>
      </c>
      <c r="C113" s="26" t="s">
        <v>30</v>
      </c>
      <c r="D113" s="93" t="e">
        <f>F113/(F98+F106)</f>
        <v>#N/A</v>
      </c>
      <c r="E113" s="55" t="e">
        <f>F113/D$97</f>
        <v>#N/A</v>
      </c>
      <c r="F113" s="19" t="e">
        <f>+SUM(START:END!F113)</f>
        <v>#N/A</v>
      </c>
      <c r="G113" s="99" t="e">
        <f>I113/I98</f>
        <v>#DIV/0!</v>
      </c>
      <c r="H113" s="55" t="e">
        <f>I113/G$97</f>
        <v>#DIV/0!</v>
      </c>
      <c r="I113" s="19">
        <f>+SUM(START:END!I113)</f>
        <v>0</v>
      </c>
      <c r="J113" s="99" t="e">
        <f>L113/L98</f>
        <v>#DIV/0!</v>
      </c>
      <c r="K113" s="55">
        <f>IF($J$97=0,0,L113/(J$94+J$95))</f>
        <v>258.4421739130434</v>
      </c>
      <c r="L113" s="39">
        <f>+SUM(START:END!L113)</f>
        <v>17832.509999999995</v>
      </c>
      <c r="M113" s="26"/>
      <c r="N113" s="39" t="e">
        <f t="shared" ref="N113:N131" si="36">L113-F113</f>
        <v>#N/A</v>
      </c>
      <c r="O113" s="99" t="e">
        <f>Q113/Q98</f>
        <v>#DIV/0!</v>
      </c>
      <c r="P113" s="55">
        <f>IF($J$97=0,0,Q113/(O$94+O$95))</f>
        <v>2133.3683333333333</v>
      </c>
      <c r="Q113" s="39">
        <f>+SUM(START:END!Q113)</f>
        <v>89601.47</v>
      </c>
      <c r="R113" s="26"/>
      <c r="S113" s="39">
        <f t="shared" ref="S113:S118" si="37">L113-Q113</f>
        <v>-71768.960000000006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tr">
        <f t="shared" ref="A114" si="38">+B114&amp;C114</f>
        <v>Véhicules usagésComm. F&amp;I</v>
      </c>
      <c r="B114" s="7" t="s">
        <v>70</v>
      </c>
      <c r="C114" s="14" t="s">
        <v>31</v>
      </c>
      <c r="D114" s="310" t="e">
        <f>F114/(F106+F20)</f>
        <v>#N/A</v>
      </c>
      <c r="E114" s="58" t="e">
        <f>F114/D$97</f>
        <v>#N/A</v>
      </c>
      <c r="F114" s="31" t="e">
        <f>+SUM(START:END!F114)</f>
        <v>#N/A</v>
      </c>
      <c r="G114" s="104" t="e">
        <f>I114/I99</f>
        <v>#DIV/0!</v>
      </c>
      <c r="H114" s="58" t="e">
        <f>I114/G$97</f>
        <v>#DIV/0!</v>
      </c>
      <c r="I114" s="31">
        <f>+SUM(START:END!I114)</f>
        <v>0</v>
      </c>
      <c r="J114" s="104">
        <f>L114/L106</f>
        <v>0.24466777238171056</v>
      </c>
      <c r="K114" s="58">
        <f>IF($J$97=0,0,L114/(J$94+J$95))</f>
        <v>189.69840579710143</v>
      </c>
      <c r="L114" s="39">
        <f>+SUM(START:END!L114)</f>
        <v>13089.189999999999</v>
      </c>
      <c r="M114" s="14"/>
      <c r="N114" s="61" t="e">
        <f t="shared" si="36"/>
        <v>#N/A</v>
      </c>
      <c r="O114" s="104">
        <f>Q114/(Q106+Q20)</f>
        <v>0.25971080968688637</v>
      </c>
      <c r="P114" s="58">
        <f>IF($J$97=0,0,Q114/(O$94+O$95))</f>
        <v>223.19404761904758</v>
      </c>
      <c r="Q114" s="39">
        <f>+SUM(START:END!Q114)</f>
        <v>9374.1499999999978</v>
      </c>
      <c r="R114" s="14"/>
      <c r="S114" s="61">
        <f t="shared" si="37"/>
        <v>3715.0400000000009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tr">
        <f t="shared" ref="A115" si="39">+B115&amp;C115</f>
        <v>Véhicules usagésFrais de livraison</v>
      </c>
      <c r="B115" s="7" t="s">
        <v>70</v>
      </c>
      <c r="C115" s="26" t="s">
        <v>32</v>
      </c>
      <c r="D115" s="54"/>
      <c r="E115" s="55" t="e">
        <f>F115/D$97</f>
        <v>#N/A</v>
      </c>
      <c r="F115" s="19" t="e">
        <f>+SUM(START:END!F115)</f>
        <v>#N/A</v>
      </c>
      <c r="G115" s="56"/>
      <c r="H115" s="55" t="e">
        <f>I115/G$97</f>
        <v>#DIV/0!</v>
      </c>
      <c r="I115" s="19">
        <f>+SUM(START:END!I115)</f>
        <v>0</v>
      </c>
      <c r="J115" s="26"/>
      <c r="K115" s="55">
        <f>IF($J$97=0,0,L115/(J$94+J$95))</f>
        <v>-21.615217391304359</v>
      </c>
      <c r="L115" s="72">
        <f>+SUM(START:END!L115)</f>
        <v>-1491.4500000000007</v>
      </c>
      <c r="M115" s="26"/>
      <c r="N115" s="39" t="e">
        <f t="shared" si="36"/>
        <v>#N/A</v>
      </c>
      <c r="O115" s="26"/>
      <c r="P115" s="55">
        <f>IF($J$97=0,0,Q115/(O$94+O$95))</f>
        <v>-415.615238095238</v>
      </c>
      <c r="Q115" s="72">
        <f>+SUM(START:END!Q115)</f>
        <v>-17455.839999999997</v>
      </c>
      <c r="R115" s="26"/>
      <c r="S115" s="39">
        <f t="shared" si="37"/>
        <v>15964.389999999996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tr">
        <f t="shared" ref="A116" si="40">+B116&amp;C116</f>
        <v>Véhicules usagésService gratuit 1</v>
      </c>
      <c r="B116" s="7" t="s">
        <v>70</v>
      </c>
      <c r="C116" s="26" t="s">
        <v>33</v>
      </c>
      <c r="D116" s="54"/>
      <c r="E116" s="55" t="e">
        <f t="shared" ref="E116:E122" si="41">F116/D$97</f>
        <v>#N/A</v>
      </c>
      <c r="F116" s="19" t="e">
        <f>+SUM(START:END!F116)</f>
        <v>#N/A</v>
      </c>
      <c r="G116" s="56"/>
      <c r="H116" s="55" t="e">
        <f t="shared" ref="H116:H122" si="42">I116/G$97</f>
        <v>#DIV/0!</v>
      </c>
      <c r="I116" s="19">
        <f>+SUM(START:END!I116)</f>
        <v>0</v>
      </c>
      <c r="J116" s="26"/>
      <c r="K116" s="55">
        <f t="shared" ref="K116:K122" si="43">IF($J$97=0,0,L116/(J$94+J$95))</f>
        <v>30.109710144927533</v>
      </c>
      <c r="L116" s="39">
        <f>+SUM(START:END!L116)</f>
        <v>2077.5699999999997</v>
      </c>
      <c r="M116" s="26"/>
      <c r="N116" s="39" t="e">
        <f t="shared" si="36"/>
        <v>#N/A</v>
      </c>
      <c r="O116" s="26"/>
      <c r="P116" s="55">
        <f t="shared" ref="P116:P122" si="44">IF($J$97=0,0,Q116/(O$94+O$95))</f>
        <v>25.24190476190476</v>
      </c>
      <c r="Q116" s="39">
        <f>+SUM(START:END!Q116)</f>
        <v>1060.1599999999999</v>
      </c>
      <c r="R116" s="26"/>
      <c r="S116" s="39">
        <f t="shared" si="37"/>
        <v>1017.4099999999999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tr">
        <f t="shared" ref="A117" si="45">+B117&amp;C117</f>
        <v>Véhicules usagésEntretien stock</v>
      </c>
      <c r="B117" s="7" t="s">
        <v>70</v>
      </c>
      <c r="C117" s="14" t="s">
        <v>34</v>
      </c>
      <c r="D117" s="57"/>
      <c r="E117" s="58" t="e">
        <f t="shared" si="41"/>
        <v>#N/A</v>
      </c>
      <c r="F117" s="31" t="e">
        <f>+SUM(START:END!F117)</f>
        <v>#N/A</v>
      </c>
      <c r="G117" s="59"/>
      <c r="H117" s="58" t="e">
        <f t="shared" si="42"/>
        <v>#DIV/0!</v>
      </c>
      <c r="I117" s="31">
        <f>+SUM(START:END!I117)</f>
        <v>0</v>
      </c>
      <c r="J117" s="14"/>
      <c r="K117" s="58">
        <f t="shared" si="43"/>
        <v>18.866086956521738</v>
      </c>
      <c r="L117" s="61">
        <f>+SUM(START:END!L117)</f>
        <v>1301.76</v>
      </c>
      <c r="M117" s="14"/>
      <c r="N117" s="61" t="e">
        <f t="shared" si="36"/>
        <v>#N/A</v>
      </c>
      <c r="O117" s="14"/>
      <c r="P117" s="58">
        <f t="shared" si="44"/>
        <v>0</v>
      </c>
      <c r="Q117" s="61">
        <f>+SUM(START:END!Q117)</f>
        <v>0</v>
      </c>
      <c r="R117" s="14"/>
      <c r="S117" s="61">
        <f t="shared" si="37"/>
        <v>1301.76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tr">
        <f t="shared" ref="A118" si="46">+B118&amp;C118</f>
        <v>Véhicules usagésPublicité 1</v>
      </c>
      <c r="B118" s="7" t="s">
        <v>70</v>
      </c>
      <c r="C118" s="26" t="s">
        <v>35</v>
      </c>
      <c r="D118" s="54"/>
      <c r="E118" s="55" t="e">
        <f t="shared" si="41"/>
        <v>#N/A</v>
      </c>
      <c r="F118" s="19" t="e">
        <f>+SUM(START:END!F118)</f>
        <v>#N/A</v>
      </c>
      <c r="G118" s="56"/>
      <c r="H118" s="55" t="e">
        <f t="shared" si="42"/>
        <v>#DIV/0!</v>
      </c>
      <c r="I118" s="19">
        <f>+SUM(START:END!I118)</f>
        <v>0</v>
      </c>
      <c r="J118" s="26"/>
      <c r="K118" s="55">
        <f t="shared" si="43"/>
        <v>409.36478260869569</v>
      </c>
      <c r="L118" s="39">
        <f>+SUM(START:END!L118)</f>
        <v>28246.170000000002</v>
      </c>
      <c r="M118" s="26"/>
      <c r="N118" s="39" t="e">
        <f t="shared" si="36"/>
        <v>#N/A</v>
      </c>
      <c r="O118" s="26"/>
      <c r="P118" s="55">
        <f t="shared" si="44"/>
        <v>357.61190476190473</v>
      </c>
      <c r="Q118" s="39">
        <f>+SUM(START:END!Q118)</f>
        <v>15019.699999999999</v>
      </c>
      <c r="R118" s="26"/>
      <c r="S118" s="39">
        <f t="shared" si="37"/>
        <v>13226.470000000003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tr">
        <f t="shared" ref="A119" si="47">+B119&amp;C119</f>
        <v>Véhicules usagésIntérêt de gros</v>
      </c>
      <c r="B119" s="7" t="s">
        <v>70</v>
      </c>
      <c r="C119" s="26" t="s">
        <v>36</v>
      </c>
      <c r="D119" s="54"/>
      <c r="E119" s="55" t="e">
        <f t="shared" si="41"/>
        <v>#N/A</v>
      </c>
      <c r="F119" s="19" t="e">
        <f>+SUM(START:END!F119)</f>
        <v>#N/A</v>
      </c>
      <c r="G119" s="56"/>
      <c r="H119" s="55" t="e">
        <f t="shared" si="42"/>
        <v>#DIV/0!</v>
      </c>
      <c r="I119" s="19">
        <f>+SUM(START:END!I119)</f>
        <v>0</v>
      </c>
      <c r="J119" s="26"/>
      <c r="K119" s="55">
        <f t="shared" si="43"/>
        <v>148.82304347826098</v>
      </c>
      <c r="L119" s="39">
        <f>+SUM(START:END!L119)</f>
        <v>10268.790000000008</v>
      </c>
      <c r="M119" s="26"/>
      <c r="N119" s="39" t="e">
        <f t="shared" si="36"/>
        <v>#N/A</v>
      </c>
      <c r="O119" s="26"/>
      <c r="P119" s="55">
        <f t="shared" si="44"/>
        <v>1207.6740476190475</v>
      </c>
      <c r="Q119" s="39">
        <f>+SUM(START:END!Q119)</f>
        <v>50722.31</v>
      </c>
      <c r="R119" s="26"/>
      <c r="S119" s="39">
        <f>L119-Q119</f>
        <v>-40453.51999999999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tr">
        <f t="shared" ref="A120" si="48">+B120&amp;C120</f>
        <v>Véhicules usagésCrédit Intérêts Floor Plan</v>
      </c>
      <c r="B120" s="7" t="s">
        <v>70</v>
      </c>
      <c r="C120" s="26" t="s">
        <v>302</v>
      </c>
      <c r="D120" s="54"/>
      <c r="E120" s="55" t="e">
        <f t="shared" si="41"/>
        <v>#N/A</v>
      </c>
      <c r="F120" s="19" t="e">
        <f>+SUM(START:END!F120)</f>
        <v>#N/A</v>
      </c>
      <c r="G120" s="56"/>
      <c r="H120" s="55" t="e">
        <f t="shared" si="42"/>
        <v>#DIV/0!</v>
      </c>
      <c r="I120" s="19">
        <f>+SUM(START:END!I120)</f>
        <v>0</v>
      </c>
      <c r="J120" s="26"/>
      <c r="K120" s="55">
        <f t="shared" si="43"/>
        <v>0</v>
      </c>
      <c r="L120" s="39">
        <f>+SUM(START:END!L120)</f>
        <v>0</v>
      </c>
      <c r="M120" s="26"/>
      <c r="N120" s="39" t="e">
        <f t="shared" si="36"/>
        <v>#N/A</v>
      </c>
      <c r="O120" s="26"/>
      <c r="P120" s="55">
        <f t="shared" si="44"/>
        <v>0</v>
      </c>
      <c r="Q120" s="39">
        <f>+SUM(START:END!Q120)</f>
        <v>0</v>
      </c>
      <c r="R120" s="26"/>
      <c r="S120" s="39">
        <f>L120-Q120</f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tr">
        <f t="shared" ref="A121" si="49">+B121&amp;C121</f>
        <v>Véhicules usagésCrédit Boni TD</v>
      </c>
      <c r="B121" s="7" t="s">
        <v>70</v>
      </c>
      <c r="C121" s="26" t="s">
        <v>303</v>
      </c>
      <c r="D121" s="54"/>
      <c r="E121" s="55" t="e">
        <f t="shared" si="41"/>
        <v>#N/A</v>
      </c>
      <c r="F121" s="19" t="e">
        <f>+SUM(START:END!F121)</f>
        <v>#N/A</v>
      </c>
      <c r="G121" s="56"/>
      <c r="H121" s="55" t="e">
        <f t="shared" si="42"/>
        <v>#DIV/0!</v>
      </c>
      <c r="I121" s="19">
        <f>+SUM(START:END!I121)</f>
        <v>0</v>
      </c>
      <c r="J121" s="26"/>
      <c r="K121" s="55">
        <f t="shared" si="43"/>
        <v>-52.008550724637736</v>
      </c>
      <c r="L121" s="39">
        <f>+SUM(START:END!L121)</f>
        <v>-3588.5900000000038</v>
      </c>
      <c r="M121" s="26"/>
      <c r="N121" s="39" t="e">
        <f t="shared" si="36"/>
        <v>#N/A</v>
      </c>
      <c r="O121" s="26"/>
      <c r="P121" s="55">
        <f t="shared" si="44"/>
        <v>0</v>
      </c>
      <c r="Q121" s="39">
        <f>+SUM(START:END!Q121)</f>
        <v>0</v>
      </c>
      <c r="R121" s="26"/>
      <c r="S121" s="39">
        <f>L121-Q121</f>
        <v>-3588.5900000000038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260" t="str">
        <f t="shared" ref="A122" si="50">+B122&amp;C122</f>
        <v>Véhicules usagés[...]</v>
      </c>
      <c r="B122" s="7" t="s">
        <v>70</v>
      </c>
      <c r="C122" s="26" t="s">
        <v>19</v>
      </c>
      <c r="D122" s="54"/>
      <c r="E122" s="55" t="e">
        <f t="shared" si="41"/>
        <v>#N/A</v>
      </c>
      <c r="F122" s="19" t="e">
        <f>+SUM(START:END!F122)</f>
        <v>#N/A</v>
      </c>
      <c r="G122" s="56"/>
      <c r="H122" s="55" t="e">
        <f t="shared" si="42"/>
        <v>#DIV/0!</v>
      </c>
      <c r="I122" s="19">
        <f>+SUM(START:END!I122)</f>
        <v>0</v>
      </c>
      <c r="J122" s="26"/>
      <c r="K122" s="55">
        <f t="shared" si="43"/>
        <v>0</v>
      </c>
      <c r="L122" s="21">
        <f>+SUM(START:END!L122)</f>
        <v>0</v>
      </c>
      <c r="M122" s="26"/>
      <c r="N122" s="39" t="e">
        <f t="shared" si="36"/>
        <v>#N/A</v>
      </c>
      <c r="O122" s="26"/>
      <c r="P122" s="55">
        <f t="shared" si="44"/>
        <v>0</v>
      </c>
      <c r="Q122" s="21">
        <f>+SUM(START:END!Q122)</f>
        <v>0</v>
      </c>
      <c r="R122" s="26"/>
      <c r="S122" s="39">
        <f t="shared" ref="S122:S127" si="51">L122-Q122</f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tr">
        <f t="shared" ref="A123" si="52">+B123&amp;C123</f>
        <v>Véhicules usagésTOTAL VARIABLES</v>
      </c>
      <c r="B123" s="7" t="s">
        <v>70</v>
      </c>
      <c r="C123" s="139" t="s">
        <v>37</v>
      </c>
      <c r="D123" s="62" t="s">
        <v>38</v>
      </c>
      <c r="E123" s="63" t="e">
        <f>F123/F$108</f>
        <v>#N/A</v>
      </c>
      <c r="F123" s="64" t="e">
        <f>SUM(F113:F122)</f>
        <v>#N/A</v>
      </c>
      <c r="G123" s="65" t="s">
        <v>38</v>
      </c>
      <c r="H123" s="63" t="e">
        <f>I123/I$108</f>
        <v>#DIV/0!</v>
      </c>
      <c r="I123" s="64">
        <f>SUM(I113:I122)</f>
        <v>0</v>
      </c>
      <c r="J123" s="65" t="s">
        <v>38</v>
      </c>
      <c r="K123" s="63" t="e">
        <f>L123/L$108</f>
        <v>#DIV/0!</v>
      </c>
      <c r="L123" s="64">
        <f>SUM(L113:L122)</f>
        <v>67735.950000000012</v>
      </c>
      <c r="M123" s="66"/>
      <c r="N123" s="64" t="e">
        <f t="shared" si="36"/>
        <v>#N/A</v>
      </c>
      <c r="O123" s="65" t="s">
        <v>38</v>
      </c>
      <c r="P123" s="63" t="e">
        <f>Q123/Q$108</f>
        <v>#DIV/0!</v>
      </c>
      <c r="Q123" s="64">
        <f>SUM(Q113:Q122)</f>
        <v>148321.95000000001</v>
      </c>
      <c r="R123" s="67"/>
      <c r="S123" s="64">
        <f t="shared" si="51"/>
        <v>-80586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tr">
        <f t="shared" ref="A124" si="53">+B124&amp;C124</f>
        <v>Véhicules usagésSalaires cadres</v>
      </c>
      <c r="B124" s="7" t="s">
        <v>70</v>
      </c>
      <c r="C124" s="271" t="s">
        <v>40</v>
      </c>
      <c r="D124" s="7"/>
      <c r="E124" s="7"/>
      <c r="F124" s="19" t="e">
        <f>+SUM(START:END!F124)</f>
        <v>#N/A</v>
      </c>
      <c r="G124" s="26"/>
      <c r="H124" s="7"/>
      <c r="I124" s="19">
        <f>+SUM(START:END!I124)</f>
        <v>0</v>
      </c>
      <c r="J124" s="26"/>
      <c r="K124" s="7"/>
      <c r="L124" s="39">
        <f>+SUM(START:END!L124)</f>
        <v>26906.740000000005</v>
      </c>
      <c r="M124" s="26"/>
      <c r="N124" s="39" t="e">
        <f t="shared" si="36"/>
        <v>#N/A</v>
      </c>
      <c r="O124" s="26"/>
      <c r="P124" s="7"/>
      <c r="Q124" s="39">
        <f>+SUM(START:END!Q124)</f>
        <v>48002.260000000009</v>
      </c>
      <c r="R124" s="26"/>
      <c r="S124" s="39">
        <f t="shared" si="51"/>
        <v>-21095.520000000004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tr">
        <f t="shared" ref="A125" si="54">+B125&amp;C125</f>
        <v>Véhicules usagésSalaires commis</v>
      </c>
      <c r="B125" s="7" t="s">
        <v>70</v>
      </c>
      <c r="C125" s="272" t="s">
        <v>41</v>
      </c>
      <c r="D125" s="54"/>
      <c r="E125" s="7"/>
      <c r="F125" s="31" t="e">
        <f>+SUM(START:END!F125)</f>
        <v>#N/A</v>
      </c>
      <c r="G125" s="56"/>
      <c r="H125" s="7"/>
      <c r="I125" s="31">
        <f>+SUM(START:END!I125)</f>
        <v>0</v>
      </c>
      <c r="J125" s="26"/>
      <c r="K125" s="7"/>
      <c r="L125" s="39">
        <f>+SUM(START:END!L125)</f>
        <v>19067.149999999998</v>
      </c>
      <c r="M125" s="26"/>
      <c r="N125" s="39" t="e">
        <f t="shared" si="36"/>
        <v>#N/A</v>
      </c>
      <c r="O125" s="26"/>
      <c r="P125" s="7"/>
      <c r="Q125" s="39">
        <f>+SUM(START:END!Q125)</f>
        <v>23601.35</v>
      </c>
      <c r="R125" s="26"/>
      <c r="S125" s="39">
        <f t="shared" si="51"/>
        <v>-4534.2000000000007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tr">
        <f t="shared" ref="A126" si="55">+B126&amp;C126</f>
        <v>Véhicules usagésSalaires autres</v>
      </c>
      <c r="B126" s="7" t="s">
        <v>70</v>
      </c>
      <c r="C126" s="271" t="s">
        <v>42</v>
      </c>
      <c r="D126" s="68"/>
      <c r="E126" s="69"/>
      <c r="F126" s="19" t="e">
        <f>+SUM(START:END!F126)</f>
        <v>#N/A</v>
      </c>
      <c r="G126" s="70"/>
      <c r="H126" s="69"/>
      <c r="I126" s="19">
        <f>+SUM(START:END!I126)</f>
        <v>0</v>
      </c>
      <c r="J126" s="71"/>
      <c r="K126" s="69"/>
      <c r="L126" s="72">
        <f>+SUM(START:END!L126)</f>
        <v>6499.0399999999991</v>
      </c>
      <c r="M126" s="71"/>
      <c r="N126" s="72" t="e">
        <f t="shared" si="36"/>
        <v>#N/A</v>
      </c>
      <c r="O126" s="71"/>
      <c r="P126" s="69"/>
      <c r="Q126" s="72">
        <f>+SUM(START:END!Q126)</f>
        <v>3691.159999999998</v>
      </c>
      <c r="R126" s="71"/>
      <c r="S126" s="72">
        <f t="shared" si="51"/>
        <v>2807.880000000001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260" t="str">
        <f t="shared" ref="A127" si="56">+B127&amp;C127</f>
        <v>Véhicules usagésSalaires spécialistes</v>
      </c>
      <c r="B127" s="7" t="s">
        <v>70</v>
      </c>
      <c r="C127" s="271" t="s">
        <v>43</v>
      </c>
      <c r="D127" s="54"/>
      <c r="E127" s="7"/>
      <c r="F127" s="19" t="e">
        <f>+SUM(START:END!F127)</f>
        <v>#N/A</v>
      </c>
      <c r="G127" s="56"/>
      <c r="H127" s="7"/>
      <c r="I127" s="19">
        <f>+SUM(START:END!I127)</f>
        <v>0</v>
      </c>
      <c r="J127" s="26"/>
      <c r="K127" s="7"/>
      <c r="L127" s="39">
        <f>+SUM(START:END!L127)</f>
        <v>0</v>
      </c>
      <c r="M127" s="26"/>
      <c r="N127" s="39" t="e">
        <f t="shared" si="36"/>
        <v>#N/A</v>
      </c>
      <c r="O127" s="26"/>
      <c r="P127" s="7"/>
      <c r="Q127" s="39">
        <f>+SUM(START:END!Q127)</f>
        <v>0</v>
      </c>
      <c r="R127" s="26"/>
      <c r="S127" s="39">
        <f t="shared" si="51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260" t="str">
        <f t="shared" ref="A128" si="57">+B128&amp;C128</f>
        <v>Véhicules usagés[...]</v>
      </c>
      <c r="B128" s="7" t="s">
        <v>70</v>
      </c>
      <c r="C128" s="271" t="s">
        <v>19</v>
      </c>
      <c r="D128" s="54"/>
      <c r="E128" s="7"/>
      <c r="F128" s="19" t="e">
        <f>+SUM(START:END!F128)</f>
        <v>#N/A</v>
      </c>
      <c r="G128" s="56"/>
      <c r="H128" s="7"/>
      <c r="I128" s="19">
        <f>+SUM(START:END!I128)</f>
        <v>0</v>
      </c>
      <c r="J128" s="26"/>
      <c r="K128" s="7"/>
      <c r="L128" s="39">
        <f>+SUM(START:END!L128)</f>
        <v>0</v>
      </c>
      <c r="M128" s="26"/>
      <c r="N128" s="39" t="e">
        <f t="shared" si="36"/>
        <v>#N/A</v>
      </c>
      <c r="O128" s="26"/>
      <c r="P128" s="7"/>
      <c r="Q128" s="39">
        <f>+SUM(START:END!Q128)</f>
        <v>0</v>
      </c>
      <c r="R128" s="26"/>
      <c r="S128" s="39">
        <f>L128-Q128</f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260" t="str">
        <f t="shared" ref="A129" si="58">+B129&amp;C129</f>
        <v>Véhicules usagés[...]</v>
      </c>
      <c r="B129" s="7" t="s">
        <v>70</v>
      </c>
      <c r="C129" s="271" t="s">
        <v>19</v>
      </c>
      <c r="D129" s="54"/>
      <c r="E129" s="7"/>
      <c r="F129" s="19" t="e">
        <f>+SUM(START:END!F129)</f>
        <v>#N/A</v>
      </c>
      <c r="G129" s="56"/>
      <c r="H129" s="7"/>
      <c r="I129" s="19">
        <f>+SUM(START:END!I129)</f>
        <v>0</v>
      </c>
      <c r="J129" s="26"/>
      <c r="K129" s="7"/>
      <c r="L129" s="39">
        <f>+SUM(START:END!L129)</f>
        <v>0</v>
      </c>
      <c r="M129" s="26"/>
      <c r="N129" s="39" t="e">
        <f t="shared" si="36"/>
        <v>#N/A</v>
      </c>
      <c r="O129" s="26"/>
      <c r="P129" s="7"/>
      <c r="Q129" s="39">
        <f>+SUM(START:END!Q129)</f>
        <v>0</v>
      </c>
      <c r="R129" s="26"/>
      <c r="S129" s="39">
        <f>L129-Q129</f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260" t="str">
        <f t="shared" ref="A130" si="59">+B130&amp;C130</f>
        <v>Véhicules usagés[...]</v>
      </c>
      <c r="B130" s="7" t="s">
        <v>70</v>
      </c>
      <c r="C130" s="271" t="s">
        <v>19</v>
      </c>
      <c r="D130" s="54"/>
      <c r="E130" s="7"/>
      <c r="F130" s="19" t="e">
        <f>+SUM(START:END!F130)</f>
        <v>#N/A</v>
      </c>
      <c r="G130" s="56"/>
      <c r="H130" s="7"/>
      <c r="I130" s="19">
        <f>+SUM(START:END!I130)</f>
        <v>0</v>
      </c>
      <c r="J130" s="26"/>
      <c r="K130" s="7"/>
      <c r="L130" s="39">
        <f>+SUM(START:END!L130)</f>
        <v>0</v>
      </c>
      <c r="M130" s="26"/>
      <c r="N130" s="39" t="e">
        <f t="shared" si="36"/>
        <v>#N/A</v>
      </c>
      <c r="O130" s="26"/>
      <c r="P130" s="7"/>
      <c r="Q130" s="39">
        <f>+SUM(START:END!Q130)</f>
        <v>0</v>
      </c>
      <c r="R130" s="26"/>
      <c r="S130" s="39">
        <f>L130-Q130</f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tr">
        <f t="shared" ref="A131" si="60">+B131&amp;C131</f>
        <v>Véhicules usagésSalaires en absences</v>
      </c>
      <c r="B131" s="7" t="s">
        <v>70</v>
      </c>
      <c r="C131" s="272" t="s">
        <v>44</v>
      </c>
      <c r="D131" s="54"/>
      <c r="E131" s="7"/>
      <c r="F131" s="19" t="e">
        <f>+SUM(START:END!F131)</f>
        <v>#N/A</v>
      </c>
      <c r="G131" s="56"/>
      <c r="H131" s="7"/>
      <c r="I131" s="19">
        <f>+SUM(START:END!I131)</f>
        <v>0</v>
      </c>
      <c r="J131" s="26"/>
      <c r="K131" s="7"/>
      <c r="L131" s="39">
        <f>+SUM(START:END!L131)</f>
        <v>10494.990000000002</v>
      </c>
      <c r="M131" s="26"/>
      <c r="N131" s="39" t="e">
        <f t="shared" si="36"/>
        <v>#N/A</v>
      </c>
      <c r="O131" s="26"/>
      <c r="P131" s="7"/>
      <c r="Q131" s="39">
        <f>+SUM(START:END!Q131)</f>
        <v>3465.0300000000007</v>
      </c>
      <c r="R131" s="26"/>
      <c r="S131" s="39">
        <f>L131-Q131</f>
        <v>7029.9600000000009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tr">
        <f t="shared" ref="A132" si="61">+B132&amp;C132</f>
        <v>Véhicules usagésDéduction à la source</v>
      </c>
      <c r="B132" s="7" t="s">
        <v>70</v>
      </c>
      <c r="C132" s="271" t="s">
        <v>45</v>
      </c>
      <c r="D132" s="68"/>
      <c r="E132" s="69"/>
      <c r="F132" s="35" t="e">
        <f>+SUM(START:END!F132)</f>
        <v>#N/A</v>
      </c>
      <c r="G132" s="70"/>
      <c r="H132" s="69"/>
      <c r="I132" s="35">
        <f>+SUM(START:END!I132)</f>
        <v>0</v>
      </c>
      <c r="J132" s="71"/>
      <c r="K132" s="69"/>
      <c r="L132" s="72">
        <f>+SUM(START:END!L132)</f>
        <v>15831.96</v>
      </c>
      <c r="M132" s="71"/>
      <c r="N132" s="72" t="e">
        <f t="shared" ref="N132:N154" si="62">L132-F132</f>
        <v>#N/A</v>
      </c>
      <c r="O132" s="71"/>
      <c r="P132" s="69"/>
      <c r="Q132" s="72">
        <f>+SUM(START:END!Q132)</f>
        <v>8265.06</v>
      </c>
      <c r="R132" s="71"/>
      <c r="S132" s="72">
        <f t="shared" ref="S132:S149" si="63">L132-Q132</f>
        <v>7566.9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tr">
        <f t="shared" ref="A133" si="64">+B133&amp;C133</f>
        <v>Véhicules usagésBénéfices marginaux</v>
      </c>
      <c r="B133" s="7" t="s">
        <v>70</v>
      </c>
      <c r="C133" s="271" t="s">
        <v>46</v>
      </c>
      <c r="D133" s="54"/>
      <c r="E133" s="7"/>
      <c r="F133" s="19" t="e">
        <f>+SUM(START:END!F133)</f>
        <v>#N/A</v>
      </c>
      <c r="G133" s="56"/>
      <c r="H133" s="7"/>
      <c r="I133" s="19">
        <f>+SUM(START:END!I133)</f>
        <v>0</v>
      </c>
      <c r="J133" s="26"/>
      <c r="K133" s="7"/>
      <c r="L133" s="39">
        <f>+SUM(START:END!L133)</f>
        <v>3217.75</v>
      </c>
      <c r="M133" s="26"/>
      <c r="N133" s="39" t="e">
        <f t="shared" si="62"/>
        <v>#N/A</v>
      </c>
      <c r="O133" s="26"/>
      <c r="P133" s="7"/>
      <c r="Q133" s="39">
        <f>+SUM(START:END!Q133)</f>
        <v>6558.2100000000009</v>
      </c>
      <c r="R133" s="26"/>
      <c r="S133" s="39">
        <f t="shared" si="63"/>
        <v>-3340.4600000000009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tr">
        <f t="shared" ref="A134" si="65">+B134&amp;C134</f>
        <v>Véhicules usagésCsst</v>
      </c>
      <c r="B134" s="7" t="s">
        <v>70</v>
      </c>
      <c r="C134" s="271" t="s">
        <v>47</v>
      </c>
      <c r="D134" s="54"/>
      <c r="E134" s="7"/>
      <c r="F134" s="19" t="e">
        <f>+SUM(START:END!F134)</f>
        <v>#N/A</v>
      </c>
      <c r="G134" s="56"/>
      <c r="H134" s="7"/>
      <c r="I134" s="19">
        <f>+SUM(START:END!I134)</f>
        <v>0</v>
      </c>
      <c r="J134" s="26"/>
      <c r="K134" s="7"/>
      <c r="L134" s="39">
        <f>+SUM(START:END!L134)</f>
        <v>6745.07</v>
      </c>
      <c r="M134" s="26"/>
      <c r="N134" s="39" t="e">
        <f t="shared" si="62"/>
        <v>#N/A</v>
      </c>
      <c r="O134" s="26"/>
      <c r="P134" s="7"/>
      <c r="Q134" s="39">
        <f>+SUM(START:END!Q134)</f>
        <v>73.22</v>
      </c>
      <c r="R134" s="26"/>
      <c r="S134" s="39">
        <f t="shared" si="63"/>
        <v>6671.8499999999995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260" t="str">
        <f t="shared" ref="A135" si="66">+B135&amp;C135</f>
        <v>Véhicules usagés[...]</v>
      </c>
      <c r="B135" s="7" t="s">
        <v>70</v>
      </c>
      <c r="C135" s="26" t="s">
        <v>19</v>
      </c>
      <c r="D135" s="57"/>
      <c r="E135" s="73"/>
      <c r="F135" s="19" t="e">
        <f>+SUM(START:END!F135)</f>
        <v>#N/A</v>
      </c>
      <c r="G135" s="59"/>
      <c r="H135" s="73"/>
      <c r="I135" s="19">
        <f>+SUM(START:END!I135)</f>
        <v>0</v>
      </c>
      <c r="J135" s="14"/>
      <c r="K135" s="73"/>
      <c r="L135" s="39">
        <f>+SUM(START:END!L135)</f>
        <v>0</v>
      </c>
      <c r="M135" s="14"/>
      <c r="N135" s="61" t="e">
        <f t="shared" si="62"/>
        <v>#N/A</v>
      </c>
      <c r="O135" s="14"/>
      <c r="P135" s="73"/>
      <c r="Q135" s="39">
        <f>+SUM(START:END!Q135)</f>
        <v>0</v>
      </c>
      <c r="R135" s="14"/>
      <c r="S135" s="61">
        <f t="shared" si="63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tr">
        <f t="shared" ref="A136" si="67">+B136&amp;C136</f>
        <v>Véhicules usagésTOTAL PERSONNEL</v>
      </c>
      <c r="B136" s="7" t="s">
        <v>70</v>
      </c>
      <c r="C136" s="139" t="s">
        <v>48</v>
      </c>
      <c r="D136" s="62" t="s">
        <v>38</v>
      </c>
      <c r="E136" s="63" t="e">
        <f>F136/F$108</f>
        <v>#N/A</v>
      </c>
      <c r="F136" s="64" t="e">
        <f>+SUM(F124:F135)</f>
        <v>#N/A</v>
      </c>
      <c r="G136" s="65" t="s">
        <v>38</v>
      </c>
      <c r="H136" s="63" t="e">
        <f>I136/I$108</f>
        <v>#DIV/0!</v>
      </c>
      <c r="I136" s="64">
        <f>+SUM(I124:I135)</f>
        <v>0</v>
      </c>
      <c r="J136" s="65" t="s">
        <v>38</v>
      </c>
      <c r="K136" s="63" t="e">
        <f>L136/L$108</f>
        <v>#DIV/0!</v>
      </c>
      <c r="L136" s="64">
        <f>SUM(L124:L135)</f>
        <v>88762.700000000012</v>
      </c>
      <c r="M136" s="66"/>
      <c r="N136" s="64" t="e">
        <f t="shared" si="62"/>
        <v>#N/A</v>
      </c>
      <c r="O136" s="65" t="s">
        <v>38</v>
      </c>
      <c r="P136" s="63" t="e">
        <f>Q136/Q$108</f>
        <v>#DIV/0!</v>
      </c>
      <c r="Q136" s="64">
        <f>SUM(Q124:Q135)</f>
        <v>93656.290000000023</v>
      </c>
      <c r="R136" s="67"/>
      <c r="S136" s="64">
        <f t="shared" si="63"/>
        <v>-4893.5900000000111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260" t="str">
        <f t="shared" ref="A137" si="68">+B137&amp;C137</f>
        <v>Véhicules usagésPublicité 2</v>
      </c>
      <c r="B137" s="7" t="s">
        <v>70</v>
      </c>
      <c r="C137" s="26" t="s">
        <v>49</v>
      </c>
      <c r="D137" s="54"/>
      <c r="E137" s="7"/>
      <c r="F137" s="19" t="e">
        <f>+SUM(START:END!F137)</f>
        <v>#N/A</v>
      </c>
      <c r="G137" s="56"/>
      <c r="H137" s="7"/>
      <c r="I137" s="19">
        <f>+SUM(START:END!I137)</f>
        <v>0</v>
      </c>
      <c r="J137" s="26"/>
      <c r="K137" s="7"/>
      <c r="L137" s="39">
        <f>+SUM(START:END!L137)</f>
        <v>0</v>
      </c>
      <c r="M137" s="26"/>
      <c r="N137" s="39" t="e">
        <f t="shared" si="62"/>
        <v>#N/A</v>
      </c>
      <c r="O137" s="26"/>
      <c r="P137" s="7"/>
      <c r="Q137" s="39">
        <f>+SUM(START:END!Q137)</f>
        <v>0</v>
      </c>
      <c r="R137" s="26"/>
      <c r="S137" s="39">
        <f t="shared" si="63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260" t="str">
        <f t="shared" ref="A138" si="69">+B138&amp;C138</f>
        <v>Véhicules usagésService gratuit 2</v>
      </c>
      <c r="B138" s="7" t="s">
        <v>70</v>
      </c>
      <c r="C138" s="26" t="s">
        <v>50</v>
      </c>
      <c r="D138" s="54"/>
      <c r="E138" s="7"/>
      <c r="F138" s="19" t="e">
        <f>+SUM(START:END!F138)</f>
        <v>#N/A</v>
      </c>
      <c r="G138" s="56"/>
      <c r="H138" s="7"/>
      <c r="I138" s="19">
        <f>+SUM(START:END!I138)</f>
        <v>0</v>
      </c>
      <c r="J138" s="26"/>
      <c r="K138" s="7"/>
      <c r="L138" s="39">
        <f>+SUM(START:END!L138)</f>
        <v>0</v>
      </c>
      <c r="M138" s="26"/>
      <c r="N138" s="39" t="e">
        <f t="shared" si="62"/>
        <v>#N/A</v>
      </c>
      <c r="O138" s="26"/>
      <c r="P138" s="7"/>
      <c r="Q138" s="39">
        <f>+SUM(START:END!Q138)</f>
        <v>0</v>
      </c>
      <c r="R138" s="26"/>
      <c r="S138" s="39">
        <f t="shared" si="63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tr">
        <f t="shared" ref="A139" si="70">+B139&amp;C139</f>
        <v>Véhicules usagésFrais véhicules de cie</v>
      </c>
      <c r="B139" s="7" t="s">
        <v>70</v>
      </c>
      <c r="C139" s="14" t="s">
        <v>51</v>
      </c>
      <c r="D139" s="57"/>
      <c r="E139" s="73"/>
      <c r="F139" s="31" t="e">
        <f>+SUM(START:END!F139)</f>
        <v>#N/A</v>
      </c>
      <c r="G139" s="59"/>
      <c r="H139" s="73"/>
      <c r="I139" s="31">
        <f>+SUM(START:END!I139)</f>
        <v>0</v>
      </c>
      <c r="J139" s="14"/>
      <c r="K139" s="73"/>
      <c r="L139" s="61">
        <f>+SUM(START:END!L139)</f>
        <v>6457.739999999998</v>
      </c>
      <c r="M139" s="14"/>
      <c r="N139" s="61" t="e">
        <f t="shared" si="62"/>
        <v>#N/A</v>
      </c>
      <c r="O139" s="14"/>
      <c r="P139" s="73"/>
      <c r="Q139" s="61">
        <f>+SUM(START:END!Q139)</f>
        <v>7961.6000000000022</v>
      </c>
      <c r="R139" s="14"/>
      <c r="S139" s="61">
        <f t="shared" si="63"/>
        <v>-1503.8600000000042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tr">
        <f t="shared" ref="A140" si="71">+B140&amp;C140</f>
        <v>Véhicules usagésInformatique</v>
      </c>
      <c r="B140" s="7" t="s">
        <v>70</v>
      </c>
      <c r="C140" s="26" t="s">
        <v>52</v>
      </c>
      <c r="D140" s="54"/>
      <c r="E140" s="7"/>
      <c r="F140" s="19" t="e">
        <f>+SUM(START:END!F140)</f>
        <v>#N/A</v>
      </c>
      <c r="G140" s="56"/>
      <c r="H140" s="7"/>
      <c r="I140" s="19">
        <f>+SUM(START:END!I140)</f>
        <v>0</v>
      </c>
      <c r="J140" s="26"/>
      <c r="K140" s="7"/>
      <c r="L140" s="39">
        <f>+SUM(START:END!L140)</f>
        <v>6035.5499999999993</v>
      </c>
      <c r="M140" s="26"/>
      <c r="N140" s="39" t="e">
        <f t="shared" si="62"/>
        <v>#N/A</v>
      </c>
      <c r="O140" s="26"/>
      <c r="P140" s="7"/>
      <c r="Q140" s="39">
        <f>+SUM(START:END!Q140)</f>
        <v>5507.24</v>
      </c>
      <c r="R140" s="26"/>
      <c r="S140" s="39">
        <f t="shared" si="63"/>
        <v>528.30999999999949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tr">
        <f t="shared" ref="A141" si="72">+B141&amp;C141</f>
        <v>Véhicules usagésFrais de déplacement</v>
      </c>
      <c r="B141" s="7" t="s">
        <v>70</v>
      </c>
      <c r="C141" s="26" t="s">
        <v>53</v>
      </c>
      <c r="D141" s="54"/>
      <c r="E141" s="7"/>
      <c r="F141" s="19" t="e">
        <f>+SUM(START:END!F141)</f>
        <v>#N/A</v>
      </c>
      <c r="G141" s="56"/>
      <c r="H141" s="7"/>
      <c r="I141" s="19">
        <f>+SUM(START:END!I141)</f>
        <v>0</v>
      </c>
      <c r="J141" s="26"/>
      <c r="K141" s="7"/>
      <c r="L141" s="39">
        <f>+SUM(START:END!L141)</f>
        <v>420.48999999999978</v>
      </c>
      <c r="M141" s="26"/>
      <c r="N141" s="39" t="e">
        <f t="shared" si="62"/>
        <v>#N/A</v>
      </c>
      <c r="O141" s="26"/>
      <c r="P141" s="7"/>
      <c r="Q141" s="39">
        <f>+SUM(START:END!Q141)</f>
        <v>7789.760000000002</v>
      </c>
      <c r="R141" s="26"/>
      <c r="S141" s="39">
        <f t="shared" si="63"/>
        <v>-7369.2700000000023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tr">
        <f t="shared" ref="A142" si="73">+B142&amp;C142</f>
        <v>Véhicules usagésServices extérieurs</v>
      </c>
      <c r="B142" s="7" t="s">
        <v>70</v>
      </c>
      <c r="C142" s="14" t="s">
        <v>54</v>
      </c>
      <c r="D142" s="57"/>
      <c r="E142" s="73"/>
      <c r="F142" s="31" t="e">
        <f>+SUM(START:END!F142)</f>
        <v>#N/A</v>
      </c>
      <c r="G142" s="59"/>
      <c r="H142" s="73"/>
      <c r="I142" s="31">
        <f>+SUM(START:END!I142)</f>
        <v>0</v>
      </c>
      <c r="J142" s="14"/>
      <c r="K142" s="73"/>
      <c r="L142" s="61">
        <f>+SUM(START:END!L142)</f>
        <v>7640</v>
      </c>
      <c r="M142" s="14"/>
      <c r="N142" s="61" t="e">
        <f t="shared" si="62"/>
        <v>#N/A</v>
      </c>
      <c r="O142" s="14"/>
      <c r="P142" s="73"/>
      <c r="Q142" s="61">
        <f>+SUM(START:END!Q142)</f>
        <v>15064.330000000002</v>
      </c>
      <c r="R142" s="14"/>
      <c r="S142" s="61">
        <f t="shared" si="63"/>
        <v>-7424.3300000000017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tr">
        <f t="shared" ref="A143" si="74">+B143&amp;C143</f>
        <v>Véhicules usagésFournitures autres</v>
      </c>
      <c r="B143" s="7" t="s">
        <v>70</v>
      </c>
      <c r="C143" s="26" t="s">
        <v>55</v>
      </c>
      <c r="D143" s="54"/>
      <c r="E143" s="7"/>
      <c r="F143" s="19" t="e">
        <f>+SUM(START:END!F143)</f>
        <v>#N/A</v>
      </c>
      <c r="G143" s="56"/>
      <c r="H143" s="7"/>
      <c r="I143" s="19">
        <f>+SUM(START:END!I143)</f>
        <v>0</v>
      </c>
      <c r="J143" s="26"/>
      <c r="K143" s="7"/>
      <c r="L143" s="39">
        <f>+SUM(START:END!L143)</f>
        <v>424.98</v>
      </c>
      <c r="M143" s="26"/>
      <c r="N143" s="39" t="e">
        <f t="shared" si="62"/>
        <v>#N/A</v>
      </c>
      <c r="O143" s="26"/>
      <c r="P143" s="7"/>
      <c r="Q143" s="39">
        <f>+SUM(START:END!Q143)</f>
        <v>330.45000000000005</v>
      </c>
      <c r="R143" s="26"/>
      <c r="S143" s="39">
        <f t="shared" si="63"/>
        <v>94.529999999999973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tr">
        <f t="shared" ref="A144" si="75">+B144&amp;C144</f>
        <v>Véhicules usagésUniformes</v>
      </c>
      <c r="B144" s="7" t="s">
        <v>70</v>
      </c>
      <c r="C144" s="26" t="s">
        <v>56</v>
      </c>
      <c r="D144" s="54"/>
      <c r="E144" s="7"/>
      <c r="F144" s="19" t="e">
        <f>+SUM(START:END!F144)</f>
        <v>#N/A</v>
      </c>
      <c r="G144" s="56"/>
      <c r="H144" s="7"/>
      <c r="I144" s="19">
        <f>+SUM(START:END!I144)</f>
        <v>0</v>
      </c>
      <c r="J144" s="26"/>
      <c r="K144" s="7"/>
      <c r="L144" s="39">
        <f>+SUM(START:END!L144)</f>
        <v>0</v>
      </c>
      <c r="M144" s="26"/>
      <c r="N144" s="39" t="e">
        <f t="shared" si="62"/>
        <v>#N/A</v>
      </c>
      <c r="O144" s="26"/>
      <c r="P144" s="7"/>
      <c r="Q144" s="39">
        <f>+SUM(START:END!Q144)</f>
        <v>0</v>
      </c>
      <c r="R144" s="26"/>
      <c r="S144" s="39">
        <f t="shared" si="63"/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tr">
        <f t="shared" ref="A145" si="76">+B145&amp;C145</f>
        <v>Véhicules usagésPapeterie</v>
      </c>
      <c r="B145" s="7" t="s">
        <v>70</v>
      </c>
      <c r="C145" s="26" t="s">
        <v>57</v>
      </c>
      <c r="D145" s="54"/>
      <c r="E145" s="7"/>
      <c r="F145" s="19" t="e">
        <f>+SUM(START:END!F145)</f>
        <v>#N/A</v>
      </c>
      <c r="G145" s="56"/>
      <c r="H145" s="7"/>
      <c r="I145" s="19">
        <f>+SUM(START:END!I145)</f>
        <v>0</v>
      </c>
      <c r="J145" s="26"/>
      <c r="K145" s="7"/>
      <c r="L145" s="39">
        <f>+SUM(START:END!L145)</f>
        <v>1177.04</v>
      </c>
      <c r="M145" s="26"/>
      <c r="N145" s="39" t="e">
        <f t="shared" si="62"/>
        <v>#N/A</v>
      </c>
      <c r="O145" s="26"/>
      <c r="P145" s="7"/>
      <c r="Q145" s="39">
        <f>+SUM(START:END!Q145)</f>
        <v>1274.04</v>
      </c>
      <c r="R145" s="26"/>
      <c r="S145" s="39">
        <f t="shared" si="63"/>
        <v>-97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tr">
        <f t="shared" ref="A146" si="77">+B146&amp;C146</f>
        <v>Véhicules usagésTéléphone</v>
      </c>
      <c r="B146" s="7" t="s">
        <v>70</v>
      </c>
      <c r="C146" s="26" t="s">
        <v>58</v>
      </c>
      <c r="D146" s="54"/>
      <c r="E146" s="7"/>
      <c r="F146" s="19" t="e">
        <f>+SUM(START:END!F146)</f>
        <v>#N/A</v>
      </c>
      <c r="G146" s="56"/>
      <c r="H146" s="7"/>
      <c r="I146" s="19">
        <f>+SUM(START:END!I146)</f>
        <v>0</v>
      </c>
      <c r="J146" s="26"/>
      <c r="K146" s="7"/>
      <c r="L146" s="39">
        <f>+SUM(START:END!L146)</f>
        <v>1290.54</v>
      </c>
      <c r="M146" s="26"/>
      <c r="N146" s="39" t="e">
        <f t="shared" si="62"/>
        <v>#N/A</v>
      </c>
      <c r="O146" s="26"/>
      <c r="P146" s="7"/>
      <c r="Q146" s="39">
        <f>+SUM(START:END!Q146)</f>
        <v>1437.6800000000003</v>
      </c>
      <c r="R146" s="26"/>
      <c r="S146" s="39">
        <f t="shared" si="63"/>
        <v>-147.14000000000033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tr">
        <f t="shared" ref="A147" si="78">+B147&amp;C147</f>
        <v>Véhicules usagésFrais postaux</v>
      </c>
      <c r="B147" s="7" t="s">
        <v>70</v>
      </c>
      <c r="C147" s="26" t="s">
        <v>59</v>
      </c>
      <c r="D147" s="54"/>
      <c r="E147" s="7"/>
      <c r="F147" s="19" t="e">
        <f>+SUM(START:END!F147)</f>
        <v>#N/A</v>
      </c>
      <c r="G147" s="56"/>
      <c r="H147" s="7"/>
      <c r="I147" s="19">
        <f>+SUM(START:END!I147)</f>
        <v>0</v>
      </c>
      <c r="J147" s="26"/>
      <c r="K147" s="7"/>
      <c r="L147" s="39">
        <f>+SUM(START:END!L147)</f>
        <v>2561.4799999999996</v>
      </c>
      <c r="M147" s="26"/>
      <c r="N147" s="39" t="e">
        <f t="shared" si="62"/>
        <v>#N/A</v>
      </c>
      <c r="O147" s="26"/>
      <c r="P147" s="7"/>
      <c r="Q147" s="39">
        <f>+SUM(START:END!Q147)</f>
        <v>4004.2099999999991</v>
      </c>
      <c r="R147" s="26"/>
      <c r="S147" s="39">
        <f t="shared" si="63"/>
        <v>-1442.7299999999996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tr">
        <f t="shared" ref="A148" si="79">+B148&amp;C148</f>
        <v>Véhicules usagésDivers</v>
      </c>
      <c r="B148" s="7" t="s">
        <v>70</v>
      </c>
      <c r="C148" s="26" t="s">
        <v>60</v>
      </c>
      <c r="D148" s="54"/>
      <c r="E148" s="7"/>
      <c r="F148" s="19" t="e">
        <f>+SUM(START:END!F148)</f>
        <v>#N/A</v>
      </c>
      <c r="G148" s="56"/>
      <c r="H148" s="7"/>
      <c r="I148" s="19">
        <f>+SUM(START:END!I148)</f>
        <v>0</v>
      </c>
      <c r="J148" s="26"/>
      <c r="K148" s="7"/>
      <c r="L148" s="39">
        <f>+SUM(START:END!L148)</f>
        <v>4947.1799999999994</v>
      </c>
      <c r="M148" s="26"/>
      <c r="N148" s="39" t="e">
        <f t="shared" si="62"/>
        <v>#N/A</v>
      </c>
      <c r="O148" s="26"/>
      <c r="P148" s="7"/>
      <c r="Q148" s="39">
        <f>+SUM(START:END!Q148)</f>
        <v>7591.91</v>
      </c>
      <c r="R148" s="26"/>
      <c r="S148" s="39">
        <f t="shared" si="63"/>
        <v>-2644.7300000000005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tr">
        <f t="shared" ref="A149" si="80">+B149&amp;C149</f>
        <v>Véhicules usagésFormation</v>
      </c>
      <c r="B149" s="7" t="s">
        <v>70</v>
      </c>
      <c r="C149" s="26" t="s">
        <v>61</v>
      </c>
      <c r="D149" s="54"/>
      <c r="E149" s="7"/>
      <c r="F149" s="19" t="e">
        <f>+SUM(START:END!F149)</f>
        <v>#N/A</v>
      </c>
      <c r="G149" s="56"/>
      <c r="H149" s="7"/>
      <c r="I149" s="19">
        <f>+SUM(START:END!I149)</f>
        <v>0</v>
      </c>
      <c r="J149" s="26"/>
      <c r="K149" s="7"/>
      <c r="L149" s="39">
        <f>+SUM(START:END!L149)</f>
        <v>0</v>
      </c>
      <c r="M149" s="26"/>
      <c r="N149" s="39" t="e">
        <f t="shared" si="62"/>
        <v>#N/A</v>
      </c>
      <c r="O149" s="26"/>
      <c r="P149" s="7"/>
      <c r="Q149" s="39">
        <f>+SUM(START:END!Q149)</f>
        <v>0</v>
      </c>
      <c r="R149" s="26"/>
      <c r="S149" s="39">
        <f t="shared" si="63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tr">
        <f t="shared" ref="A150" si="81">+B150&amp;C150</f>
        <v>Véhicules usagésFrais bancaires</v>
      </c>
      <c r="B150" s="7" t="s">
        <v>70</v>
      </c>
      <c r="C150" s="26" t="s">
        <v>62</v>
      </c>
      <c r="D150" s="54"/>
      <c r="E150" s="7"/>
      <c r="F150" s="19" t="e">
        <f>+SUM(START:END!F150)</f>
        <v>#N/A</v>
      </c>
      <c r="G150" s="56"/>
      <c r="H150" s="7"/>
      <c r="I150" s="19">
        <f>+SUM(START:END!I150)</f>
        <v>0</v>
      </c>
      <c r="J150" s="26"/>
      <c r="K150" s="7"/>
      <c r="L150" s="39">
        <f>+SUM(START:END!L150)</f>
        <v>3803.0300000000007</v>
      </c>
      <c r="M150" s="26"/>
      <c r="N150" s="39" t="e">
        <f t="shared" si="62"/>
        <v>#N/A</v>
      </c>
      <c r="O150" s="26"/>
      <c r="P150" s="7"/>
      <c r="Q150" s="39">
        <f>+SUM(START:END!Q150)</f>
        <v>710.15000000000009</v>
      </c>
      <c r="R150" s="26"/>
      <c r="S150" s="39">
        <f>L150-Q150</f>
        <v>3092.8800000000006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260" t="str">
        <f t="shared" ref="A151" si="82">+B151&amp;C151</f>
        <v>Véhicules usagés[...]</v>
      </c>
      <c r="B151" s="7" t="s">
        <v>70</v>
      </c>
      <c r="C151" s="26" t="s">
        <v>19</v>
      </c>
      <c r="D151" s="54"/>
      <c r="E151" s="7"/>
      <c r="F151" s="19" t="e">
        <f>+SUM(START:END!F151)</f>
        <v>#N/A</v>
      </c>
      <c r="G151" s="56"/>
      <c r="H151" s="7"/>
      <c r="I151" s="19">
        <f>+SUM(START:END!I151)</f>
        <v>0</v>
      </c>
      <c r="J151" s="26"/>
      <c r="K151" s="7"/>
      <c r="L151" s="39">
        <f>+SUM(START:END!L151)</f>
        <v>0</v>
      </c>
      <c r="M151" s="26"/>
      <c r="N151" s="39" t="e">
        <f t="shared" si="62"/>
        <v>#N/A</v>
      </c>
      <c r="O151" s="26"/>
      <c r="P151" s="7"/>
      <c r="Q151" s="39">
        <f>+SUM(START:END!Q151)</f>
        <v>0</v>
      </c>
      <c r="R151" s="26"/>
      <c r="S151" s="39">
        <f>L151-Q151</f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260" t="str">
        <f t="shared" ref="A152" si="83">+B152&amp;C152</f>
        <v>Véhicules usagés[...]</v>
      </c>
      <c r="B152" s="7" t="s">
        <v>70</v>
      </c>
      <c r="C152" s="26" t="s">
        <v>19</v>
      </c>
      <c r="D152" s="54"/>
      <c r="E152" s="7"/>
      <c r="F152" s="19" t="e">
        <f>+SUM(START:END!F152)</f>
        <v>#N/A</v>
      </c>
      <c r="G152" s="56"/>
      <c r="H152" s="7"/>
      <c r="I152" s="19">
        <f>+SUM(START:END!I152)</f>
        <v>0</v>
      </c>
      <c r="J152" s="26"/>
      <c r="K152" s="7"/>
      <c r="L152" s="39">
        <f>+SUM(START:END!L152)</f>
        <v>0</v>
      </c>
      <c r="M152" s="26"/>
      <c r="N152" s="39" t="e">
        <f t="shared" si="62"/>
        <v>#N/A</v>
      </c>
      <c r="O152" s="26"/>
      <c r="P152" s="7"/>
      <c r="Q152" s="39">
        <f>+SUM(START:END!Q152)</f>
        <v>0</v>
      </c>
      <c r="R152" s="26"/>
      <c r="S152" s="39">
        <f>L152-Q152</f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260" t="str">
        <f t="shared" ref="A153" si="84">+B153&amp;C153</f>
        <v>Véhicules usagés[...]</v>
      </c>
      <c r="B153" s="7" t="s">
        <v>70</v>
      </c>
      <c r="C153" s="26" t="s">
        <v>19</v>
      </c>
      <c r="D153" s="54"/>
      <c r="E153" s="7"/>
      <c r="F153" s="19" t="e">
        <f>+SUM(START:END!F153)</f>
        <v>#N/A</v>
      </c>
      <c r="G153" s="56"/>
      <c r="H153" s="7"/>
      <c r="I153" s="19">
        <f>+SUM(START:END!I153)</f>
        <v>0</v>
      </c>
      <c r="J153" s="26"/>
      <c r="K153" s="7"/>
      <c r="L153" s="39">
        <f>+SUM(START:END!L153)</f>
        <v>0</v>
      </c>
      <c r="M153" s="26"/>
      <c r="N153" s="39" t="e">
        <f t="shared" si="62"/>
        <v>#N/A</v>
      </c>
      <c r="O153" s="26"/>
      <c r="P153" s="7"/>
      <c r="Q153" s="39">
        <f>+SUM(START:END!Q153)</f>
        <v>0</v>
      </c>
      <c r="R153" s="26"/>
      <c r="S153" s="39">
        <f>L153-Q153</f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tr">
        <f t="shared" ref="A154" si="85">+B154&amp;C154</f>
        <v>Véhicules usagésTOTAL SEMI-FIXES</v>
      </c>
      <c r="B154" s="7" t="s">
        <v>70</v>
      </c>
      <c r="C154" s="139" t="s">
        <v>63</v>
      </c>
      <c r="D154" s="62" t="s">
        <v>38</v>
      </c>
      <c r="E154" s="63" t="e">
        <f>F154/F$108</f>
        <v>#N/A</v>
      </c>
      <c r="F154" s="64" t="e">
        <f>+SUM(F137:F153)</f>
        <v>#N/A</v>
      </c>
      <c r="G154" s="65" t="s">
        <v>38</v>
      </c>
      <c r="H154" s="63" t="e">
        <f>I154/I$108</f>
        <v>#DIV/0!</v>
      </c>
      <c r="I154" s="64">
        <f>+SUM(I137:I153)</f>
        <v>0</v>
      </c>
      <c r="J154" s="65" t="s">
        <v>38</v>
      </c>
      <c r="K154" s="63" t="e">
        <f>L154/L$108</f>
        <v>#DIV/0!</v>
      </c>
      <c r="L154" s="64">
        <f>+SUM(L137:L153)</f>
        <v>34758.03</v>
      </c>
      <c r="M154" s="66"/>
      <c r="N154" s="64" t="e">
        <f t="shared" si="62"/>
        <v>#N/A</v>
      </c>
      <c r="O154" s="65" t="s">
        <v>38</v>
      </c>
      <c r="P154" s="63" t="e">
        <f>Q154/Q$108</f>
        <v>#DIV/0!</v>
      </c>
      <c r="Q154" s="64">
        <f>+SUM(Q137:Q153)</f>
        <v>51671.37</v>
      </c>
      <c r="R154" s="67"/>
      <c r="S154" s="64">
        <f>L154-Q154</f>
        <v>-16913.340000000004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tr">
        <f t="shared" ref="A155" si="86">+B155&amp;C155</f>
        <v>Véhicules usagés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tr">
        <f t="shared" ref="A156" si="87">+B156&amp;C156</f>
        <v>Véhicules usagésTOTAL DES DÉPENSES</v>
      </c>
      <c r="B156" s="7" t="s">
        <v>70</v>
      </c>
      <c r="C156" s="139" t="s">
        <v>64</v>
      </c>
      <c r="D156" s="62" t="s">
        <v>38</v>
      </c>
      <c r="E156" s="63" t="e">
        <f>F156/F$108</f>
        <v>#N/A</v>
      </c>
      <c r="F156" s="64" t="e">
        <f>F123+F136+F154</f>
        <v>#N/A</v>
      </c>
      <c r="G156" s="65" t="s">
        <v>38</v>
      </c>
      <c r="H156" s="63" t="e">
        <f>I156/I$108</f>
        <v>#DIV/0!</v>
      </c>
      <c r="I156" s="64">
        <f>I123+I136+I154</f>
        <v>0</v>
      </c>
      <c r="J156" s="65" t="s">
        <v>38</v>
      </c>
      <c r="K156" s="63" t="e">
        <f>L156/L$108</f>
        <v>#DIV/0!</v>
      </c>
      <c r="L156" s="64">
        <f>L123+L136+L154</f>
        <v>191256.68000000002</v>
      </c>
      <c r="M156" s="66"/>
      <c r="N156" s="64" t="e">
        <f t="shared" ref="N156:N163" si="88">L156-F156</f>
        <v>#N/A</v>
      </c>
      <c r="O156" s="65" t="s">
        <v>38</v>
      </c>
      <c r="P156" s="63" t="e">
        <f>Q156/Q$108</f>
        <v>#DIV/0!</v>
      </c>
      <c r="Q156" s="64">
        <f>Q123+Q136+Q154</f>
        <v>293649.61000000004</v>
      </c>
      <c r="R156" s="67"/>
      <c r="S156" s="64">
        <f t="shared" ref="S156:S163" si="89">L156-Q156</f>
        <v>-102392.93000000002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tr">
        <f t="shared" ref="A157" si="90">+B157&amp;C157</f>
        <v>Véhicules usagésRBSC used</v>
      </c>
      <c r="B157" s="7" t="s">
        <v>70</v>
      </c>
      <c r="C157" s="300" t="s">
        <v>215</v>
      </c>
      <c r="D157" s="94"/>
      <c r="E157" s="95"/>
      <c r="F157" s="19" t="e">
        <f>+SUM(START:END!F157)</f>
        <v>#N/A</v>
      </c>
      <c r="G157" s="96"/>
      <c r="H157" s="95"/>
      <c r="I157" s="19">
        <f>+SUM(START:END!I157)</f>
        <v>0</v>
      </c>
      <c r="J157" s="96"/>
      <c r="K157" s="95"/>
      <c r="L157" s="39">
        <f>+SUM(START:END!L157)</f>
        <v>0</v>
      </c>
      <c r="M157" s="26"/>
      <c r="N157" s="39" t="e">
        <f t="shared" si="88"/>
        <v>#N/A</v>
      </c>
      <c r="O157" s="96"/>
      <c r="P157" s="95"/>
      <c r="Q157" s="39">
        <f>+SUM(START:END!Q157)</f>
        <v>0</v>
      </c>
      <c r="R157" s="26"/>
      <c r="S157" s="39">
        <f t="shared" si="89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tr">
        <f t="shared" ref="A158" si="91">+B158&amp;C158</f>
        <v>Véhicules usagésProgramme 360</v>
      </c>
      <c r="B158" s="7" t="s">
        <v>70</v>
      </c>
      <c r="C158" s="300" t="s">
        <v>216</v>
      </c>
      <c r="D158" s="94"/>
      <c r="E158" s="95"/>
      <c r="F158" s="19" t="e">
        <f>+SUM(START:END!F158)</f>
        <v>#N/A</v>
      </c>
      <c r="G158" s="96"/>
      <c r="H158" s="95"/>
      <c r="I158" s="19">
        <f>+SUM(START:END!I158)</f>
        <v>0</v>
      </c>
      <c r="J158" s="96"/>
      <c r="K158" s="95"/>
      <c r="L158" s="39">
        <f>+SUM(START:END!L158)</f>
        <v>0</v>
      </c>
      <c r="M158" s="26"/>
      <c r="N158" s="39" t="e">
        <f t="shared" si="88"/>
        <v>#N/A</v>
      </c>
      <c r="O158" s="96"/>
      <c r="P158" s="95"/>
      <c r="Q158" s="39">
        <f>+SUM(START:END!Q158)</f>
        <v>0</v>
      </c>
      <c r="R158" s="26"/>
      <c r="S158" s="39">
        <f t="shared" si="89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tr">
        <f t="shared" ref="A159" si="92">+B159&amp;C159</f>
        <v>Véhicules usagésProgramme used 3</v>
      </c>
      <c r="B159" s="7" t="s">
        <v>70</v>
      </c>
      <c r="C159" s="300" t="s">
        <v>77</v>
      </c>
      <c r="D159" s="54"/>
      <c r="E159" s="7"/>
      <c r="F159" s="19" t="e">
        <f>+SUM(START:END!F159)</f>
        <v>#N/A</v>
      </c>
      <c r="G159" s="56"/>
      <c r="H159" s="7"/>
      <c r="I159" s="19">
        <f>+SUM(START:END!I159)</f>
        <v>0</v>
      </c>
      <c r="J159" s="26"/>
      <c r="K159" s="7"/>
      <c r="L159" s="39">
        <f>+SUM(START:END!L159)</f>
        <v>0</v>
      </c>
      <c r="M159" s="26"/>
      <c r="N159" s="39" t="e">
        <f t="shared" si="88"/>
        <v>#N/A</v>
      </c>
      <c r="O159" s="26"/>
      <c r="P159" s="7"/>
      <c r="Q159" s="39">
        <f>+SUM(START:END!Q159)</f>
        <v>0</v>
      </c>
      <c r="R159" s="26"/>
      <c r="S159" s="39">
        <f t="shared" si="89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tr">
        <f>+B160&amp;C160</f>
        <v>Véhicules usagésFrais administration</v>
      </c>
      <c r="B160" s="7" t="s">
        <v>70</v>
      </c>
      <c r="C160" s="26" t="s">
        <v>67</v>
      </c>
      <c r="D160" s="311"/>
      <c r="E160" s="274"/>
      <c r="F160" s="19" t="e">
        <f>+SUM(START:END!F160)</f>
        <v>#N/A</v>
      </c>
      <c r="G160" s="56"/>
      <c r="H160" s="7"/>
      <c r="I160" s="19">
        <f>+SUM(START:END!I160)</f>
        <v>0</v>
      </c>
      <c r="J160" s="275"/>
      <c r="K160" s="274"/>
      <c r="L160" s="39">
        <f>+SUM(START:END!L160)</f>
        <v>21124.339999999997</v>
      </c>
      <c r="M160" s="26"/>
      <c r="N160" s="39" t="e">
        <f t="shared" si="88"/>
        <v>#N/A</v>
      </c>
      <c r="O160" s="275"/>
      <c r="P160" s="274"/>
      <c r="Q160" s="39">
        <f>+SUM(START:END!Q160)</f>
        <v>0</v>
      </c>
      <c r="R160" s="26"/>
      <c r="S160" s="39">
        <f t="shared" si="89"/>
        <v>21124.339999999997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tr">
        <f>+B161&amp;C161</f>
        <v>Véhicules usagés[...]</v>
      </c>
      <c r="B161" s="7" t="s">
        <v>70</v>
      </c>
      <c r="C161" s="26" t="s">
        <v>19</v>
      </c>
      <c r="D161" s="54"/>
      <c r="E161" s="7"/>
      <c r="F161" s="19" t="e">
        <f>+SUM(START:END!F161)</f>
        <v>#N/A</v>
      </c>
      <c r="G161" s="56"/>
      <c r="H161" s="7"/>
      <c r="I161" s="19">
        <f>+SUM(START:END!I161)</f>
        <v>0</v>
      </c>
      <c r="J161" s="26"/>
      <c r="K161" s="7"/>
      <c r="L161" s="39">
        <f>+SUM(START:END!L161)</f>
        <v>0</v>
      </c>
      <c r="M161" s="26"/>
      <c r="N161" s="39" t="e">
        <f t="shared" si="88"/>
        <v>#N/A</v>
      </c>
      <c r="O161" s="26"/>
      <c r="P161" s="7"/>
      <c r="Q161" s="39">
        <f>+SUM(START:END!Q161)</f>
        <v>0</v>
      </c>
      <c r="R161" s="26"/>
      <c r="S161" s="39">
        <f t="shared" si="89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tr">
        <f>+B162&amp;C162</f>
        <v>Véhicules usagés[...]</v>
      </c>
      <c r="B162" s="7" t="s">
        <v>70</v>
      </c>
      <c r="C162" s="26" t="s">
        <v>19</v>
      </c>
      <c r="D162" s="54"/>
      <c r="E162" s="7"/>
      <c r="F162" s="19" t="e">
        <f>+SUM(START:END!F162)</f>
        <v>#N/A</v>
      </c>
      <c r="G162" s="56"/>
      <c r="H162" s="7"/>
      <c r="I162" s="19">
        <f>+SUM(START:END!I162)</f>
        <v>0</v>
      </c>
      <c r="J162" s="26"/>
      <c r="K162" s="7"/>
      <c r="L162" s="39">
        <f>+SUM(START:END!L162)</f>
        <v>0</v>
      </c>
      <c r="M162" s="26"/>
      <c r="N162" s="39" t="e">
        <f t="shared" si="88"/>
        <v>#N/A</v>
      </c>
      <c r="O162" s="26"/>
      <c r="P162" s="7"/>
      <c r="Q162" s="39">
        <f>+SUM(START:END!Q162)</f>
        <v>0</v>
      </c>
      <c r="R162" s="26"/>
      <c r="S162" s="39">
        <f t="shared" si="89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tr">
        <f>+B163&amp;C163</f>
        <v>Véhicules usagés[...]</v>
      </c>
      <c r="B163" s="7" t="s">
        <v>70</v>
      </c>
      <c r="C163" s="14" t="s">
        <v>19</v>
      </c>
      <c r="D163" s="57"/>
      <c r="E163" s="73"/>
      <c r="F163" s="19" t="e">
        <f>+SUM(START:END!F163)</f>
        <v>#N/A</v>
      </c>
      <c r="G163" s="56"/>
      <c r="H163" s="7"/>
      <c r="I163" s="19">
        <f>+SUM(START:END!I163)</f>
        <v>0</v>
      </c>
      <c r="J163" s="26"/>
      <c r="K163" s="7"/>
      <c r="L163" s="39">
        <f>+SUM(START:END!L163)</f>
        <v>0</v>
      </c>
      <c r="M163" s="26"/>
      <c r="N163" s="39" t="e">
        <f t="shared" si="88"/>
        <v>#N/A</v>
      </c>
      <c r="O163" s="26"/>
      <c r="P163" s="7"/>
      <c r="Q163" s="39">
        <f>+SUM(START:END!Q163)</f>
        <v>0</v>
      </c>
      <c r="R163" s="26"/>
      <c r="S163" s="39">
        <f t="shared" si="89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 t="e">
        <f>+SUM(F157:F163)</f>
        <v>#N/A</v>
      </c>
      <c r="G164" s="65"/>
      <c r="H164" s="63"/>
      <c r="I164" s="64">
        <f>+SUM(I157:I163)</f>
        <v>0</v>
      </c>
      <c r="J164" s="65"/>
      <c r="K164" s="63"/>
      <c r="L164" s="64">
        <f>+SUM(L157:L163)</f>
        <v>21124.339999999997</v>
      </c>
      <c r="M164" s="66"/>
      <c r="N164" s="64" t="e">
        <f>SUM(N157:N160)</f>
        <v>#N/A</v>
      </c>
      <c r="O164" s="65"/>
      <c r="P164" s="63"/>
      <c r="Q164" s="64">
        <f>+SUM(Q157:Q163)</f>
        <v>0</v>
      </c>
      <c r="R164" s="67"/>
      <c r="S164" s="64">
        <f>+SUM(S157:S163)</f>
        <v>21124.339999999997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 t="e">
        <f>F109-F156+F164</f>
        <v>#N/A</v>
      </c>
      <c r="G166" s="279"/>
      <c r="H166" s="278"/>
      <c r="I166" s="138">
        <f>I109-I156+I164</f>
        <v>0</v>
      </c>
      <c r="J166" s="279"/>
      <c r="K166" s="278"/>
      <c r="L166" s="138">
        <f>L109-L156+L164</f>
        <v>-52568.0900000002</v>
      </c>
      <c r="M166" s="280"/>
      <c r="N166" s="138" t="e">
        <f>L166-F166</f>
        <v>#N/A</v>
      </c>
      <c r="O166" s="279"/>
      <c r="P166" s="278"/>
      <c r="Q166" s="138">
        <f>Q109-Q156+Q164</f>
        <v>-76432.300000000512</v>
      </c>
      <c r="R166" s="281"/>
      <c r="S166" s="138">
        <f>L166-Q166</f>
        <v>23864.210000000312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219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  Q3 2026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426" t="s">
        <v>5</v>
      </c>
      <c r="E171" s="426"/>
      <c r="F171" s="428"/>
      <c r="G171" s="424"/>
      <c r="H171" s="426"/>
      <c r="I171" s="428"/>
      <c r="J171" s="424" t="s">
        <v>7</v>
      </c>
      <c r="K171" s="426"/>
      <c r="L171" s="428"/>
      <c r="M171" s="424" t="s">
        <v>210</v>
      </c>
      <c r="N171" s="428"/>
      <c r="O171" s="424" t="s">
        <v>8</v>
      </c>
      <c r="P171" s="426"/>
      <c r="Q171" s="428"/>
      <c r="R171" s="424" t="s">
        <v>211</v>
      </c>
      <c r="S171" s="428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220</v>
      </c>
      <c r="K172" s="9" t="s">
        <v>13</v>
      </c>
      <c r="L172" s="10" t="s">
        <v>12</v>
      </c>
      <c r="M172" s="11" t="s">
        <v>220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220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221</v>
      </c>
      <c r="B173" s="7" t="s">
        <v>222</v>
      </c>
      <c r="C173" s="14" t="s">
        <v>14</v>
      </c>
      <c r="D173" s="30"/>
      <c r="E173" s="30"/>
      <c r="F173" s="31" t="e">
        <f>+SUM(START:END!F173)</f>
        <v>#N/A</v>
      </c>
      <c r="G173" s="34"/>
      <c r="H173" s="30"/>
      <c r="I173" s="31"/>
      <c r="J173" s="14"/>
      <c r="K173" s="58"/>
      <c r="L173" s="61">
        <f>+SUM(START:END!L173)</f>
        <v>11755638.960000001</v>
      </c>
      <c r="M173" s="86"/>
      <c r="N173" s="87"/>
      <c r="O173" s="14"/>
      <c r="P173" s="58"/>
      <c r="Q173" s="61">
        <f>+SUM(START:END!Q173)</f>
        <v>14323302.880000003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222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223</v>
      </c>
      <c r="B175" s="7" t="s">
        <v>222</v>
      </c>
      <c r="C175" s="26" t="s">
        <v>224</v>
      </c>
      <c r="D175" s="19" t="e">
        <f>+SUM(START:END!D175)</f>
        <v>#N/A</v>
      </c>
      <c r="E175" s="19" t="e">
        <f>+SUM(START:END!E175)</f>
        <v>#N/A</v>
      </c>
      <c r="F175" s="19" t="e">
        <f>+SUM(START:END!F175)</f>
        <v>#N/A</v>
      </c>
      <c r="G175" s="20"/>
      <c r="H175" s="19"/>
      <c r="I175" s="19"/>
      <c r="J175" s="20">
        <f>+SUM(START:END!J175)</f>
        <v>134</v>
      </c>
      <c r="K175" s="55">
        <f>+SUM(START:END!K175)</f>
        <v>-7260.6171695527792</v>
      </c>
      <c r="L175" s="39">
        <f>+SUM(START:END!L175)</f>
        <v>-166246.6099999994</v>
      </c>
      <c r="M175" s="20" t="e">
        <f>J175-D175</f>
        <v>#N/A</v>
      </c>
      <c r="N175" s="21" t="e">
        <f>L175-F175</f>
        <v>#N/A</v>
      </c>
      <c r="O175" s="20">
        <f>+SUM(START:END!O175)</f>
        <v>114</v>
      </c>
      <c r="P175" s="55">
        <f>+SUM(START:END!P175)</f>
        <v>-1744.7474848484637</v>
      </c>
      <c r="Q175" s="39">
        <f>+SUM(START:END!Q175)</f>
        <v>-17568.769999999902</v>
      </c>
      <c r="R175" s="20">
        <f t="shared" ref="R175:R177" si="93">J175-O175</f>
        <v>20</v>
      </c>
      <c r="S175" s="39">
        <f t="shared" ref="S175:S177" si="94">L175-Q175</f>
        <v>-148677.8399999995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222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>
        <f>R175/O175</f>
        <v>0.17543859649122806</v>
      </c>
      <c r="S176" s="108">
        <f>IF(Q175=0,0,(S175/Q175))</f>
        <v>8.4626208892256169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225</v>
      </c>
      <c r="B177" s="7" t="s">
        <v>222</v>
      </c>
      <c r="C177" s="26" t="s">
        <v>226</v>
      </c>
      <c r="D177" s="19" t="e">
        <f>+SUM(START:END!D177)</f>
        <v>#N/A</v>
      </c>
      <c r="E177" s="19" t="e">
        <f>+SUM(START:END!E177)</f>
        <v>#N/A</v>
      </c>
      <c r="F177" s="19" t="e">
        <f>+SUM(START:END!F177)</f>
        <v>#N/A</v>
      </c>
      <c r="G177" s="20"/>
      <c r="H177" s="19"/>
      <c r="I177" s="19"/>
      <c r="J177" s="20">
        <f>+SUM(START:END!J177)</f>
        <v>66</v>
      </c>
      <c r="K177" s="55">
        <f>+SUM(START:END!K177)</f>
        <v>2402.2888624338366</v>
      </c>
      <c r="L177" s="39">
        <f>+SUM(START:END!L177)</f>
        <v>52244.159999999218</v>
      </c>
      <c r="M177" s="20" t="e">
        <f>J177-D177</f>
        <v>#N/A</v>
      </c>
      <c r="N177" s="21" t="e">
        <f>L177-F177</f>
        <v>#N/A</v>
      </c>
      <c r="O177" s="20">
        <f>+SUM(START:END!O177)</f>
        <v>0</v>
      </c>
      <c r="P177" s="55">
        <f>+SUM(START:END!P177)</f>
        <v>0</v>
      </c>
      <c r="Q177" s="39">
        <f>+SUM(START:END!Q177)</f>
        <v>0</v>
      </c>
      <c r="R177" s="20">
        <f t="shared" si="93"/>
        <v>66</v>
      </c>
      <c r="S177" s="39">
        <f t="shared" si="94"/>
        <v>52244.159999999218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222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222</v>
      </c>
      <c r="C179" s="26" t="s">
        <v>227</v>
      </c>
      <c r="D179" s="19" t="e">
        <f>+SUM(START:END!D179)</f>
        <v>#N/A</v>
      </c>
      <c r="E179" s="19" t="e">
        <f>+SUM(START:END!E179)</f>
        <v>#N/A</v>
      </c>
      <c r="F179" s="19" t="e">
        <f>+SUM(START:END!F179)</f>
        <v>#N/A</v>
      </c>
      <c r="G179" s="20"/>
      <c r="H179" s="19"/>
      <c r="I179" s="19"/>
      <c r="J179" s="20">
        <f>+SUM(START:END!J179)</f>
        <v>20</v>
      </c>
      <c r="K179" s="55">
        <f>+SUM(START:END!K179)</f>
        <v>11304.375</v>
      </c>
      <c r="L179" s="39">
        <f>+SUM(START:END!L179)</f>
        <v>56235</v>
      </c>
      <c r="M179" s="20" t="e">
        <f>J179-D179</f>
        <v>#N/A</v>
      </c>
      <c r="N179" s="21" t="e">
        <f>L179-F179</f>
        <v>#N/A</v>
      </c>
      <c r="O179" s="20">
        <f>+SUM(START:END!O179)</f>
        <v>53</v>
      </c>
      <c r="P179" s="55">
        <f>+SUM(START:END!P179)</f>
        <v>12659.696969696881</v>
      </c>
      <c r="Q179" s="39">
        <f>+SUM(START:END!Q179)</f>
        <v>218789.99999999814</v>
      </c>
      <c r="R179" s="20">
        <f>J179-O179</f>
        <v>-33</v>
      </c>
      <c r="S179" s="39">
        <f>L179-Q179</f>
        <v>-162554.99999999814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222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>
        <f>R179/O179</f>
        <v>-0.62264150943396224</v>
      </c>
      <c r="S180" s="100">
        <f>IF(Q179=0,0,(S179/Q179))</f>
        <v>-0.74297271356094663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222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228</v>
      </c>
      <c r="B182" s="7" t="s">
        <v>222</v>
      </c>
      <c r="C182" s="264" t="s">
        <v>229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220</v>
      </c>
      <c r="K182" s="41">
        <f>IF(J182&lt;=0,0,L182/J182)</f>
        <v>-262.57931818181902</v>
      </c>
      <c r="L182" s="43">
        <f>L175+L179+L177</f>
        <v>-57767.450000000186</v>
      </c>
      <c r="M182" s="44" t="e">
        <f>J182-D182</f>
        <v>#N/A</v>
      </c>
      <c r="N182" s="43" t="e">
        <f>L182-F182</f>
        <v>#REF!</v>
      </c>
      <c r="O182" s="44">
        <f>O175+O177+O179</f>
        <v>167</v>
      </c>
      <c r="P182" s="41">
        <f>IF(O182&lt;=0,0,Q182/O182)</f>
        <v>1204.917544910169</v>
      </c>
      <c r="Q182" s="43">
        <f>Q175+Q179+Q177</f>
        <v>201221.22999999824</v>
      </c>
      <c r="R182" s="44">
        <f>J182-O182</f>
        <v>53</v>
      </c>
      <c r="S182" s="43">
        <f>L182-Q182</f>
        <v>-258988.67999999842</v>
      </c>
      <c r="T182" s="7"/>
      <c r="U182" s="55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222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3.1509433962264151</v>
      </c>
      <c r="S183" s="267">
        <f>IF(Q182=0,0,(S182/Q182))</f>
        <v>-1.2870842703824079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222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230</v>
      </c>
      <c r="B185" s="7" t="s">
        <v>222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231</v>
      </c>
      <c r="B186" s="7" t="s">
        <v>222</v>
      </c>
      <c r="C186" s="26" t="s">
        <v>30</v>
      </c>
      <c r="D186" s="99" t="e">
        <f>F186/F182</f>
        <v>#N/A</v>
      </c>
      <c r="E186" s="55" t="e">
        <f>IF($J$97=0,0,F186/(D$94+D$95+D182))</f>
        <v>#N/A</v>
      </c>
      <c r="F186" s="19" t="e">
        <f>+SUM(START:END!F186)</f>
        <v>#N/A</v>
      </c>
      <c r="G186" s="99"/>
      <c r="H186" s="55"/>
      <c r="I186" s="19"/>
      <c r="J186" s="99">
        <f>L186/L182</f>
        <v>-0.46297369885636136</v>
      </c>
      <c r="K186" s="55">
        <f>IF($J$97=0,0,L186/(J$94+J$95+J182))</f>
        <v>92.542595155709336</v>
      </c>
      <c r="L186" s="39">
        <f>+SUM(START:END!L186)</f>
        <v>26744.809999999998</v>
      </c>
      <c r="M186" s="26"/>
      <c r="N186" s="39" t="e">
        <f t="shared" ref="N186:N227" si="95">L186-F186</f>
        <v>#N/A</v>
      </c>
      <c r="O186" s="99">
        <f>Q186/Q182</f>
        <v>0</v>
      </c>
      <c r="P186" s="55">
        <f>IF($J$97=0,0,Q186/(O$94+O$95+O182))</f>
        <v>0</v>
      </c>
      <c r="Q186" s="39">
        <f>+SUM(START:END!Q186)</f>
        <v>0</v>
      </c>
      <c r="R186" s="26"/>
      <c r="S186" s="39">
        <f t="shared" ref="S186:S227" si="96">L186-Q186</f>
        <v>26744.809999999998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232</v>
      </c>
      <c r="B187" s="7" t="s">
        <v>222</v>
      </c>
      <c r="C187" s="14" t="s">
        <v>31</v>
      </c>
      <c r="D187" s="104" t="e">
        <f>F187/(F182)</f>
        <v>#N/A</v>
      </c>
      <c r="E187" s="58" t="e">
        <f>IF($J$97=0,0,F187/(D$94+D$95+D182))</f>
        <v>#N/A</v>
      </c>
      <c r="F187" s="31" t="e">
        <f>+SUM(START:END!F187)</f>
        <v>#N/A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f>+SUM(START:END!L187)</f>
        <v>0</v>
      </c>
      <c r="M187" s="14"/>
      <c r="N187" s="61" t="e">
        <f t="shared" si="95"/>
        <v>#N/A</v>
      </c>
      <c r="O187" s="104">
        <f>Q187/(Q182)</f>
        <v>0</v>
      </c>
      <c r="P187" s="58">
        <f>IF($J$97=0,0,Q187/(O$94+O$95+O182))</f>
        <v>0</v>
      </c>
      <c r="Q187" s="39">
        <f>+SUM(START:END!Q187)</f>
        <v>0</v>
      </c>
      <c r="R187" s="14"/>
      <c r="S187" s="61">
        <f t="shared" si="9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233</v>
      </c>
      <c r="B188" s="7" t="s">
        <v>222</v>
      </c>
      <c r="C188" s="26" t="s">
        <v>32</v>
      </c>
      <c r="D188" s="26"/>
      <c r="E188" s="55" t="e">
        <f>IF($J$97=0,0,F188/(D$94+D$95+D182))</f>
        <v>#N/A</v>
      </c>
      <c r="F188" s="19" t="e">
        <f>+SUM(START:END!F188)</f>
        <v>#N/A</v>
      </c>
      <c r="G188" s="56"/>
      <c r="H188" s="55"/>
      <c r="I188" s="19"/>
      <c r="J188" s="26"/>
      <c r="K188" s="55">
        <f>IF($J$97=0,0,L188/(J$94+J$95+J182))</f>
        <v>6.7662975778546741</v>
      </c>
      <c r="L188" s="72">
        <f>+SUM(START:END!L188)</f>
        <v>1955.4600000000009</v>
      </c>
      <c r="M188" s="26"/>
      <c r="N188" s="39" t="e">
        <f t="shared" si="95"/>
        <v>#N/A</v>
      </c>
      <c r="O188" s="26"/>
      <c r="P188" s="55">
        <f>IF($J$97=0,0,Q188/(O$94+O$95+O182))</f>
        <v>-112.78846889952153</v>
      </c>
      <c r="Q188" s="72">
        <f>+SUM(START:END!Q188)</f>
        <v>-23572.79</v>
      </c>
      <c r="R188" s="26"/>
      <c r="S188" s="39">
        <f t="shared" si="96"/>
        <v>25528.25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234</v>
      </c>
      <c r="B189" s="7" t="s">
        <v>222</v>
      </c>
      <c r="C189" s="26" t="s">
        <v>33</v>
      </c>
      <c r="D189" s="26"/>
      <c r="E189" s="55" t="e">
        <f>IF($J$97=0,0,F189/(D$94+D$95+D182))</f>
        <v>#N/A</v>
      </c>
      <c r="F189" s="19" t="e">
        <f>+SUM(START:END!F189)</f>
        <v>#N/A</v>
      </c>
      <c r="G189" s="56"/>
      <c r="H189" s="55"/>
      <c r="I189" s="19"/>
      <c r="J189" s="26"/>
      <c r="K189" s="55">
        <f>IF($J$97=0,0,L189/(J$94+J$95+J182))</f>
        <v>0</v>
      </c>
      <c r="L189" s="39">
        <f>+SUM(START:END!L189)</f>
        <v>0</v>
      </c>
      <c r="M189" s="26"/>
      <c r="N189" s="39" t="e">
        <f t="shared" si="95"/>
        <v>#N/A</v>
      </c>
      <c r="O189" s="26"/>
      <c r="P189" s="55">
        <f>IF($J$97=0,0,Q189/(O$94+O$95+O182))</f>
        <v>0</v>
      </c>
      <c r="Q189" s="39">
        <f>+SUM(START:END!Q189)</f>
        <v>0</v>
      </c>
      <c r="R189" s="26"/>
      <c r="S189" s="39">
        <f t="shared" si="9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235</v>
      </c>
      <c r="B190" s="7" t="s">
        <v>222</v>
      </c>
      <c r="C190" s="14" t="s">
        <v>34</v>
      </c>
      <c r="D190" s="14"/>
      <c r="E190" s="58" t="e">
        <f>IF($J$97=0,0,F190/(D$94+D$95+D182))</f>
        <v>#N/A</v>
      </c>
      <c r="F190" s="31" t="e">
        <f>+SUM(START:END!F190)</f>
        <v>#N/A</v>
      </c>
      <c r="G190" s="59"/>
      <c r="H190" s="58"/>
      <c r="I190" s="31"/>
      <c r="J190" s="14"/>
      <c r="K190" s="58">
        <f>IF($J$97=0,0,L190/(J$94+J$95+J182))</f>
        <v>0.12110726643598616</v>
      </c>
      <c r="L190" s="61">
        <f>+SUM(START:END!L190)</f>
        <v>35</v>
      </c>
      <c r="M190" s="14"/>
      <c r="N190" s="61" t="e">
        <f t="shared" si="95"/>
        <v>#N/A</v>
      </c>
      <c r="O190" s="14"/>
      <c r="P190" s="58">
        <f>IF($J$97=0,0,Q190/(O$94+O$95+O182))</f>
        <v>0</v>
      </c>
      <c r="Q190" s="61">
        <f>+SUM(START:END!Q190)</f>
        <v>0</v>
      </c>
      <c r="R190" s="14"/>
      <c r="S190" s="61">
        <f t="shared" si="96"/>
        <v>35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236</v>
      </c>
      <c r="B191" s="7" t="s">
        <v>222</v>
      </c>
      <c r="C191" s="26" t="s">
        <v>35</v>
      </c>
      <c r="D191" s="26"/>
      <c r="E191" s="55" t="e">
        <f>IF($J$97=0,0,F191/(D$94+D$95+D182))</f>
        <v>#N/A</v>
      </c>
      <c r="F191" s="19" t="e">
        <f>+SUM(START:END!F191)</f>
        <v>#N/A</v>
      </c>
      <c r="G191" s="56"/>
      <c r="H191" s="55"/>
      <c r="I191" s="19"/>
      <c r="J191" s="26"/>
      <c r="K191" s="55">
        <f>IF($J$97=0,0,L191/(J$94+J$95+J182))</f>
        <v>0</v>
      </c>
      <c r="L191" s="39">
        <f>+SUM(START:END!L191)</f>
        <v>0</v>
      </c>
      <c r="M191" s="26"/>
      <c r="N191" s="39" t="e">
        <f t="shared" si="95"/>
        <v>#N/A</v>
      </c>
      <c r="O191" s="26"/>
      <c r="P191" s="55">
        <f>IF($J$97=0,0,Q191/(O$94+O$95+O182))</f>
        <v>0</v>
      </c>
      <c r="Q191" s="39">
        <f>+SUM(START:END!Q191)</f>
        <v>0</v>
      </c>
      <c r="R191" s="26"/>
      <c r="S191" s="39">
        <f t="shared" si="9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237</v>
      </c>
      <c r="B192" s="7" t="s">
        <v>222</v>
      </c>
      <c r="C192" s="26" t="s">
        <v>36</v>
      </c>
      <c r="D192" s="26"/>
      <c r="E192" s="55" t="e">
        <f>IF($J$97=0,0,F192/(D$94+D$95+D182))</f>
        <v>#N/A</v>
      </c>
      <c r="F192" s="19" t="e">
        <f>+SUM(START:END!F192)</f>
        <v>#N/A</v>
      </c>
      <c r="G192" s="56"/>
      <c r="H192" s="55"/>
      <c r="I192" s="19"/>
      <c r="J192" s="26"/>
      <c r="K192" s="55">
        <f>IF($J$97=0,0,L192/(J$94+J$95+J182))</f>
        <v>157.28179930795849</v>
      </c>
      <c r="L192" s="39">
        <f>+SUM(START:END!L192)</f>
        <v>45454.44</v>
      </c>
      <c r="M192" s="26"/>
      <c r="N192" s="39" t="e">
        <f t="shared" si="95"/>
        <v>#N/A</v>
      </c>
      <c r="O192" s="26"/>
      <c r="P192" s="55">
        <f>IF($J$97=0,0,Q192/(O$94+O$95+O182))</f>
        <v>80.672057416267904</v>
      </c>
      <c r="Q192" s="39">
        <f>+SUM(START:END!Q192)</f>
        <v>16860.459999999992</v>
      </c>
      <c r="R192" s="26"/>
      <c r="S192" s="39">
        <f t="shared" si="96"/>
        <v>28593.98000000001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260" t="s">
        <v>238</v>
      </c>
      <c r="B193" s="7" t="s">
        <v>222</v>
      </c>
      <c r="C193" s="26" t="s">
        <v>19</v>
      </c>
      <c r="D193" s="54"/>
      <c r="E193" s="55" t="e">
        <f>F193/D$97</f>
        <v>#N/A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95"/>
        <v>0</v>
      </c>
      <c r="O193" s="26"/>
      <c r="P193" s="55">
        <f>IF($J$97=0,0,Q193/(O$94+O$95))</f>
        <v>0</v>
      </c>
      <c r="Q193" s="21">
        <v>0</v>
      </c>
      <c r="R193" s="26"/>
      <c r="S193" s="39">
        <f t="shared" si="9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>
      <c r="A194" s="260" t="s">
        <v>238</v>
      </c>
      <c r="B194" s="7" t="s">
        <v>222</v>
      </c>
      <c r="C194" s="26" t="s">
        <v>19</v>
      </c>
      <c r="D194" s="54"/>
      <c r="E194" s="55" t="e">
        <f>F194/D$97</f>
        <v>#N/A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95"/>
        <v>0</v>
      </c>
      <c r="O194" s="26"/>
      <c r="P194" s="55">
        <f>IF($J$97=0,0,Q194/(O$94+O$95))</f>
        <v>0</v>
      </c>
      <c r="Q194" s="21">
        <v>0</v>
      </c>
      <c r="R194" s="26"/>
      <c r="S194" s="39">
        <f t="shared" si="9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>
      <c r="A195" s="260" t="s">
        <v>238</v>
      </c>
      <c r="B195" s="7" t="s">
        <v>222</v>
      </c>
      <c r="C195" s="26" t="s">
        <v>19</v>
      </c>
      <c r="D195" s="54"/>
      <c r="E195" s="55" t="e">
        <f>F195/D$97</f>
        <v>#N/A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95"/>
        <v>0</v>
      </c>
      <c r="O195" s="26"/>
      <c r="P195" s="55">
        <f>IF($J$97=0,0,Q195/(O$94+O$95))</f>
        <v>0</v>
      </c>
      <c r="Q195" s="21">
        <v>0</v>
      </c>
      <c r="R195" s="26"/>
      <c r="S195" s="39">
        <f t="shared" si="9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239</v>
      </c>
      <c r="B196" s="7" t="s">
        <v>222</v>
      </c>
      <c r="C196" s="139" t="s">
        <v>37</v>
      </c>
      <c r="D196" s="62" t="s">
        <v>38</v>
      </c>
      <c r="E196" s="63" t="e">
        <f>F196/F$109</f>
        <v>#N/A</v>
      </c>
      <c r="F196" s="64" t="e">
        <f>SUM(F186:F195)</f>
        <v>#N/A</v>
      </c>
      <c r="G196" s="65"/>
      <c r="H196" s="63"/>
      <c r="I196" s="64"/>
      <c r="J196" s="65" t="s">
        <v>38</v>
      </c>
      <c r="K196" s="63">
        <f>L196/L$109</f>
        <v>0.63105672004882518</v>
      </c>
      <c r="L196" s="64">
        <f>SUM(L186:L195)</f>
        <v>74189.709999999992</v>
      </c>
      <c r="M196" s="66"/>
      <c r="N196" s="64" t="e">
        <f t="shared" si="95"/>
        <v>#N/A</v>
      </c>
      <c r="O196" s="65" t="s">
        <v>38</v>
      </c>
      <c r="P196" s="63">
        <f>Q196/Q$109</f>
        <v>-3.0901450717716848E-2</v>
      </c>
      <c r="Q196" s="64">
        <f>SUM(Q186:Q195)</f>
        <v>-6712.330000000009</v>
      </c>
      <c r="R196" s="67"/>
      <c r="S196" s="64">
        <f t="shared" si="96"/>
        <v>80902.040000000008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240</v>
      </c>
      <c r="B197" s="7" t="s">
        <v>222</v>
      </c>
      <c r="C197" s="271" t="s">
        <v>40</v>
      </c>
      <c r="D197" s="7"/>
      <c r="E197" s="7"/>
      <c r="F197" s="19" t="e">
        <f>+SUM(START:END!F197)</f>
        <v>#N/A</v>
      </c>
      <c r="G197" s="26"/>
      <c r="H197" s="7"/>
      <c r="I197" s="19"/>
      <c r="J197" s="26"/>
      <c r="K197" s="7"/>
      <c r="L197" s="39">
        <f>+SUM(START:END!L197)</f>
        <v>-4250.1200000000099</v>
      </c>
      <c r="M197" s="26"/>
      <c r="N197" s="39" t="e">
        <f t="shared" si="95"/>
        <v>#N/A</v>
      </c>
      <c r="O197" s="26"/>
      <c r="P197" s="7"/>
      <c r="Q197" s="39">
        <f>+SUM(START:END!Q197)</f>
        <v>5250.8500000000349</v>
      </c>
      <c r="R197" s="26"/>
      <c r="S197" s="39">
        <f t="shared" si="96"/>
        <v>-9500.9700000000448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241</v>
      </c>
      <c r="B198" s="7" t="s">
        <v>222</v>
      </c>
      <c r="C198" s="272" t="s">
        <v>41</v>
      </c>
      <c r="D198" s="54"/>
      <c r="E198" s="7"/>
      <c r="F198" s="31" t="e">
        <f>+SUM(START:END!F198)</f>
        <v>#N/A</v>
      </c>
      <c r="G198" s="56"/>
      <c r="H198" s="7"/>
      <c r="I198" s="31"/>
      <c r="J198" s="26"/>
      <c r="K198" s="7"/>
      <c r="L198" s="39">
        <f>+SUM(START:END!L198)</f>
        <v>688.58000000000175</v>
      </c>
      <c r="M198" s="26"/>
      <c r="N198" s="39" t="e">
        <f t="shared" si="95"/>
        <v>#N/A</v>
      </c>
      <c r="O198" s="26"/>
      <c r="P198" s="7"/>
      <c r="Q198" s="39">
        <f>+SUM(START:END!Q198)</f>
        <v>29025.379999999997</v>
      </c>
      <c r="R198" s="26"/>
      <c r="S198" s="39">
        <f t="shared" si="96"/>
        <v>-28336.799999999996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242</v>
      </c>
      <c r="B199" s="7" t="s">
        <v>222</v>
      </c>
      <c r="C199" s="271" t="s">
        <v>42</v>
      </c>
      <c r="D199" s="68"/>
      <c r="E199" s="69"/>
      <c r="F199" s="19" t="e">
        <f>+SUM(START:END!F199)</f>
        <v>#N/A</v>
      </c>
      <c r="G199" s="70"/>
      <c r="H199" s="69"/>
      <c r="I199" s="19"/>
      <c r="J199" s="71"/>
      <c r="K199" s="69"/>
      <c r="L199" s="72">
        <f>+SUM(START:END!L199)</f>
        <v>0</v>
      </c>
      <c r="M199" s="71"/>
      <c r="N199" s="72" t="e">
        <f t="shared" si="95"/>
        <v>#N/A</v>
      </c>
      <c r="O199" s="71"/>
      <c r="P199" s="69"/>
      <c r="Q199" s="72">
        <f>+SUM(START:END!Q199)</f>
        <v>121917.5</v>
      </c>
      <c r="R199" s="71"/>
      <c r="S199" s="72">
        <f t="shared" si="96"/>
        <v>-121917.5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260" t="s">
        <v>243</v>
      </c>
      <c r="B200" s="7" t="s">
        <v>222</v>
      </c>
      <c r="C200" s="271" t="s">
        <v>43</v>
      </c>
      <c r="D200" s="54"/>
      <c r="E200" s="7"/>
      <c r="F200" s="19" t="e">
        <f>+SUM(START:END!F200)</f>
        <v>#N/A</v>
      </c>
      <c r="G200" s="56"/>
      <c r="H200" s="7"/>
      <c r="I200" s="19"/>
      <c r="J200" s="26"/>
      <c r="K200" s="7"/>
      <c r="L200" s="39">
        <f>+SUM(START:END!L200)</f>
        <v>0</v>
      </c>
      <c r="M200" s="26"/>
      <c r="N200" s="39" t="e">
        <f t="shared" si="95"/>
        <v>#N/A</v>
      </c>
      <c r="O200" s="26"/>
      <c r="P200" s="7"/>
      <c r="Q200" s="39">
        <f>+SUM(START:END!Q200)</f>
        <v>0</v>
      </c>
      <c r="R200" s="26"/>
      <c r="S200" s="39">
        <f t="shared" si="9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260" t="s">
        <v>238</v>
      </c>
      <c r="B201" s="7" t="s">
        <v>222</v>
      </c>
      <c r="C201" s="271" t="s">
        <v>19</v>
      </c>
      <c r="D201" s="54"/>
      <c r="E201" s="7"/>
      <c r="F201" s="19" t="e">
        <f>+SUM(START:END!F201)</f>
        <v>#N/A</v>
      </c>
      <c r="G201" s="56"/>
      <c r="H201" s="7"/>
      <c r="I201" s="19"/>
      <c r="J201" s="26"/>
      <c r="K201" s="7"/>
      <c r="L201" s="39">
        <f>+SUM(START:END!L201)</f>
        <v>0</v>
      </c>
      <c r="M201" s="26"/>
      <c r="N201" s="39" t="e">
        <f t="shared" si="95"/>
        <v>#N/A</v>
      </c>
      <c r="O201" s="26"/>
      <c r="P201" s="7"/>
      <c r="Q201" s="39">
        <f>+SUM(START:END!Q201)</f>
        <v>0</v>
      </c>
      <c r="R201" s="26"/>
      <c r="S201" s="39">
        <f t="shared" si="9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260" t="s">
        <v>238</v>
      </c>
      <c r="B202" s="7" t="s">
        <v>222</v>
      </c>
      <c r="C202" s="271" t="s">
        <v>19</v>
      </c>
      <c r="D202" s="54"/>
      <c r="E202" s="7"/>
      <c r="F202" s="19" t="e">
        <f>+SUM(START:END!F202)</f>
        <v>#N/A</v>
      </c>
      <c r="G202" s="56"/>
      <c r="H202" s="7"/>
      <c r="I202" s="19"/>
      <c r="J202" s="26"/>
      <c r="K202" s="7"/>
      <c r="L202" s="39">
        <f>+SUM(START:END!L202)</f>
        <v>0</v>
      </c>
      <c r="M202" s="26"/>
      <c r="N202" s="39" t="e">
        <f t="shared" si="95"/>
        <v>#N/A</v>
      </c>
      <c r="O202" s="26"/>
      <c r="P202" s="7"/>
      <c r="Q202" s="39">
        <f>+SUM(START:END!Q202)</f>
        <v>0</v>
      </c>
      <c r="R202" s="26"/>
      <c r="S202" s="39">
        <f t="shared" si="9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260" t="s">
        <v>238</v>
      </c>
      <c r="B203" s="7" t="s">
        <v>222</v>
      </c>
      <c r="C203" s="271" t="s">
        <v>19</v>
      </c>
      <c r="D203" s="54"/>
      <c r="E203" s="7"/>
      <c r="F203" s="19" t="e">
        <f>+SUM(START:END!F203)</f>
        <v>#N/A</v>
      </c>
      <c r="G203" s="56"/>
      <c r="H203" s="7"/>
      <c r="I203" s="19"/>
      <c r="J203" s="26"/>
      <c r="K203" s="7"/>
      <c r="L203" s="39">
        <f>+SUM(START:END!L203)</f>
        <v>0</v>
      </c>
      <c r="M203" s="26"/>
      <c r="N203" s="39" t="e">
        <f t="shared" si="95"/>
        <v>#N/A</v>
      </c>
      <c r="O203" s="26"/>
      <c r="P203" s="7"/>
      <c r="Q203" s="39">
        <f>+SUM(START:END!Q203)</f>
        <v>0</v>
      </c>
      <c r="R203" s="26"/>
      <c r="S203" s="39">
        <f t="shared" si="9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244</v>
      </c>
      <c r="B204" s="7" t="s">
        <v>222</v>
      </c>
      <c r="C204" s="272" t="s">
        <v>44</v>
      </c>
      <c r="D204" s="54"/>
      <c r="E204" s="7"/>
      <c r="F204" s="19" t="e">
        <f>+SUM(START:END!F204)</f>
        <v>#N/A</v>
      </c>
      <c r="G204" s="56"/>
      <c r="H204" s="7"/>
      <c r="I204" s="19"/>
      <c r="J204" s="26"/>
      <c r="K204" s="7"/>
      <c r="L204" s="39">
        <f>+SUM(START:END!L204)</f>
        <v>6581.7199999999975</v>
      </c>
      <c r="M204" s="26"/>
      <c r="N204" s="39" t="e">
        <f t="shared" si="95"/>
        <v>#N/A</v>
      </c>
      <c r="O204" s="26"/>
      <c r="P204" s="7"/>
      <c r="Q204" s="39">
        <f>+SUM(START:END!Q204)</f>
        <v>7961.3700000000008</v>
      </c>
      <c r="R204" s="26"/>
      <c r="S204" s="39">
        <f t="shared" si="96"/>
        <v>-1379.6500000000033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245</v>
      </c>
      <c r="B205" s="7" t="s">
        <v>222</v>
      </c>
      <c r="C205" s="271" t="s">
        <v>45</v>
      </c>
      <c r="D205" s="68"/>
      <c r="E205" s="69"/>
      <c r="F205" s="35" t="e">
        <f>+SUM(START:END!F205)</f>
        <v>#N/A</v>
      </c>
      <c r="G205" s="70"/>
      <c r="H205" s="69"/>
      <c r="I205" s="35"/>
      <c r="J205" s="71"/>
      <c r="K205" s="69"/>
      <c r="L205" s="72">
        <f>+SUM(START:END!L205)</f>
        <v>7928.2200000000012</v>
      </c>
      <c r="M205" s="71"/>
      <c r="N205" s="72" t="e">
        <f t="shared" si="95"/>
        <v>#N/A</v>
      </c>
      <c r="O205" s="71"/>
      <c r="P205" s="69"/>
      <c r="Q205" s="72">
        <f>+SUM(START:END!Q205)</f>
        <v>9856.2800000000025</v>
      </c>
      <c r="R205" s="71"/>
      <c r="S205" s="72">
        <f t="shared" si="96"/>
        <v>-1928.0600000000013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246</v>
      </c>
      <c r="B206" s="7" t="s">
        <v>222</v>
      </c>
      <c r="C206" s="271" t="s">
        <v>46</v>
      </c>
      <c r="D206" s="54"/>
      <c r="E206" s="7"/>
      <c r="F206" s="19" t="e">
        <f>+SUM(START:END!F206)</f>
        <v>#N/A</v>
      </c>
      <c r="G206" s="56"/>
      <c r="H206" s="7"/>
      <c r="I206" s="19"/>
      <c r="J206" s="26"/>
      <c r="K206" s="7"/>
      <c r="L206" s="39">
        <f>+SUM(START:END!L206)</f>
        <v>1323.5900000000001</v>
      </c>
      <c r="M206" s="26"/>
      <c r="N206" s="39" t="e">
        <f t="shared" si="95"/>
        <v>#N/A</v>
      </c>
      <c r="O206" s="26"/>
      <c r="P206" s="7"/>
      <c r="Q206" s="39">
        <f>+SUM(START:END!Q206)</f>
        <v>937.04000000000087</v>
      </c>
      <c r="R206" s="26"/>
      <c r="S206" s="39">
        <f t="shared" si="96"/>
        <v>386.54999999999927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247</v>
      </c>
      <c r="B207" s="7" t="s">
        <v>222</v>
      </c>
      <c r="C207" s="271" t="s">
        <v>47</v>
      </c>
      <c r="D207" s="54"/>
      <c r="E207" s="7"/>
      <c r="F207" s="19" t="e">
        <f>+SUM(START:END!F207)</f>
        <v>#N/A</v>
      </c>
      <c r="G207" s="56"/>
      <c r="H207" s="7"/>
      <c r="I207" s="19"/>
      <c r="J207" s="26"/>
      <c r="K207" s="7"/>
      <c r="L207" s="39">
        <f>+SUM(START:END!L207)</f>
        <v>893.98</v>
      </c>
      <c r="M207" s="26"/>
      <c r="N207" s="39" t="e">
        <f t="shared" si="95"/>
        <v>#N/A</v>
      </c>
      <c r="O207" s="26"/>
      <c r="P207" s="7"/>
      <c r="Q207" s="39">
        <f>+SUM(START:END!Q207)</f>
        <v>0</v>
      </c>
      <c r="R207" s="26"/>
      <c r="S207" s="39">
        <f t="shared" si="96"/>
        <v>893.98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260" t="s">
        <v>238</v>
      </c>
      <c r="B208" s="7" t="s">
        <v>222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95"/>
        <v>0</v>
      </c>
      <c r="O208" s="14"/>
      <c r="P208" s="73"/>
      <c r="Q208" s="39">
        <v>0</v>
      </c>
      <c r="R208" s="14"/>
      <c r="S208" s="61">
        <f t="shared" si="9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248</v>
      </c>
      <c r="B209" s="7" t="s">
        <v>222</v>
      </c>
      <c r="C209" s="139" t="s">
        <v>48</v>
      </c>
      <c r="D209" s="62" t="s">
        <v>38</v>
      </c>
      <c r="E209" s="63" t="e">
        <f>F209/F$109</f>
        <v>#N/A</v>
      </c>
      <c r="F209" s="64" t="e">
        <f>+SUM(F197:F208)</f>
        <v>#N/A</v>
      </c>
      <c r="G209" s="65"/>
      <c r="H209" s="63"/>
      <c r="I209" s="64"/>
      <c r="J209" s="65" t="s">
        <v>38</v>
      </c>
      <c r="K209" s="63">
        <f>L209/L$109</f>
        <v>0.1119895716597521</v>
      </c>
      <c r="L209" s="64">
        <f>SUM(L197:L208)</f>
        <v>13165.96999999999</v>
      </c>
      <c r="M209" s="66"/>
      <c r="N209" s="64" t="e">
        <f t="shared" si="95"/>
        <v>#N/A</v>
      </c>
      <c r="O209" s="65" t="s">
        <v>38</v>
      </c>
      <c r="P209" s="63">
        <f>Q209/Q$109</f>
        <v>0.8054073591096419</v>
      </c>
      <c r="Q209" s="64">
        <f>SUM(Q197:Q208)</f>
        <v>174948.42000000004</v>
      </c>
      <c r="R209" s="67"/>
      <c r="S209" s="64">
        <f t="shared" si="96"/>
        <v>-161782.45000000004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260" t="s">
        <v>249</v>
      </c>
      <c r="B210" s="7" t="s">
        <v>222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95"/>
        <v>0</v>
      </c>
      <c r="O210" s="26"/>
      <c r="P210" s="7"/>
      <c r="Q210" s="39">
        <v>0</v>
      </c>
      <c r="R210" s="26"/>
      <c r="S210" s="39">
        <f t="shared" si="9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260" t="s">
        <v>250</v>
      </c>
      <c r="B211" s="7" t="s">
        <v>222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95"/>
        <v>0</v>
      </c>
      <c r="O211" s="26"/>
      <c r="P211" s="7"/>
      <c r="Q211" s="39">
        <v>0</v>
      </c>
      <c r="R211" s="26"/>
      <c r="S211" s="39">
        <f t="shared" si="9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251</v>
      </c>
      <c r="B212" s="7" t="s">
        <v>222</v>
      </c>
      <c r="C212" s="14" t="s">
        <v>51</v>
      </c>
      <c r="D212" s="57"/>
      <c r="E212" s="73"/>
      <c r="F212" s="31" t="e">
        <f>+SUM(START:END!F212)</f>
        <v>#N/A</v>
      </c>
      <c r="G212" s="59"/>
      <c r="H212" s="73"/>
      <c r="I212" s="31"/>
      <c r="J212" s="14"/>
      <c r="K212" s="73"/>
      <c r="L212" s="61">
        <f>+SUM(START:END!L212)</f>
        <v>1000</v>
      </c>
      <c r="M212" s="14"/>
      <c r="N212" s="61" t="e">
        <f t="shared" si="95"/>
        <v>#N/A</v>
      </c>
      <c r="O212" s="14"/>
      <c r="P212" s="73"/>
      <c r="Q212" s="61">
        <f>+SUM(START:END!Q212)</f>
        <v>0</v>
      </c>
      <c r="R212" s="14"/>
      <c r="S212" s="61">
        <f t="shared" si="96"/>
        <v>1000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252</v>
      </c>
      <c r="B213" s="7" t="s">
        <v>222</v>
      </c>
      <c r="C213" s="26" t="s">
        <v>52</v>
      </c>
      <c r="D213" s="54"/>
      <c r="E213" s="7"/>
      <c r="F213" s="19" t="e">
        <f>+SUM(START:END!F213)</f>
        <v>#N/A</v>
      </c>
      <c r="G213" s="56"/>
      <c r="H213" s="7"/>
      <c r="I213" s="19"/>
      <c r="J213" s="26"/>
      <c r="K213" s="7"/>
      <c r="L213" s="39">
        <f>+SUM(START:END!L213)</f>
        <v>0</v>
      </c>
      <c r="M213" s="26"/>
      <c r="N213" s="39" t="e">
        <f t="shared" si="95"/>
        <v>#N/A</v>
      </c>
      <c r="O213" s="26"/>
      <c r="P213" s="7"/>
      <c r="Q213" s="39">
        <f>+SUM(START:END!Q213)</f>
        <v>0</v>
      </c>
      <c r="R213" s="26"/>
      <c r="S213" s="39">
        <f t="shared" si="9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253</v>
      </c>
      <c r="B214" s="7" t="s">
        <v>222</v>
      </c>
      <c r="C214" s="26" t="s">
        <v>53</v>
      </c>
      <c r="D214" s="54"/>
      <c r="E214" s="7"/>
      <c r="F214" s="19" t="e">
        <f>+SUM(START:END!F214)</f>
        <v>#N/A</v>
      </c>
      <c r="G214" s="56"/>
      <c r="H214" s="7"/>
      <c r="I214" s="19"/>
      <c r="J214" s="26"/>
      <c r="K214" s="7"/>
      <c r="L214" s="39">
        <f>+SUM(START:END!L214)</f>
        <v>0</v>
      </c>
      <c r="M214" s="26"/>
      <c r="N214" s="39" t="e">
        <f t="shared" si="95"/>
        <v>#N/A</v>
      </c>
      <c r="O214" s="26"/>
      <c r="P214" s="7"/>
      <c r="Q214" s="39">
        <f>+SUM(START:END!Q214)</f>
        <v>0</v>
      </c>
      <c r="R214" s="26"/>
      <c r="S214" s="39">
        <f t="shared" si="9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254</v>
      </c>
      <c r="B215" s="7" t="s">
        <v>222</v>
      </c>
      <c r="C215" s="14" t="s">
        <v>54</v>
      </c>
      <c r="D215" s="57"/>
      <c r="E215" s="73"/>
      <c r="F215" s="31" t="e">
        <f>+SUM(START:END!F215)</f>
        <v>#N/A</v>
      </c>
      <c r="G215" s="59"/>
      <c r="H215" s="73"/>
      <c r="I215" s="31"/>
      <c r="J215" s="14"/>
      <c r="K215" s="73"/>
      <c r="L215" s="61">
        <f>+SUM(START:END!L215)</f>
        <v>0</v>
      </c>
      <c r="M215" s="14"/>
      <c r="N215" s="61" t="e">
        <f t="shared" si="95"/>
        <v>#N/A</v>
      </c>
      <c r="O215" s="14"/>
      <c r="P215" s="73"/>
      <c r="Q215" s="61">
        <f>+SUM(START:END!Q215)</f>
        <v>0</v>
      </c>
      <c r="R215" s="14"/>
      <c r="S215" s="61">
        <f t="shared" si="96"/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255</v>
      </c>
      <c r="B216" s="7" t="s">
        <v>222</v>
      </c>
      <c r="C216" s="26" t="s">
        <v>55</v>
      </c>
      <c r="D216" s="54"/>
      <c r="E216" s="7"/>
      <c r="F216" s="19" t="e">
        <f>+SUM(START:END!F216)</f>
        <v>#N/A</v>
      </c>
      <c r="G216" s="56"/>
      <c r="H216" s="7"/>
      <c r="I216" s="19"/>
      <c r="J216" s="26"/>
      <c r="K216" s="7"/>
      <c r="L216" s="39">
        <f>+SUM(START:END!L216)</f>
        <v>0</v>
      </c>
      <c r="M216" s="26"/>
      <c r="N216" s="39" t="e">
        <f t="shared" si="95"/>
        <v>#N/A</v>
      </c>
      <c r="O216" s="26"/>
      <c r="P216" s="7"/>
      <c r="Q216" s="39">
        <f>+SUM(START:END!Q216)</f>
        <v>0</v>
      </c>
      <c r="R216" s="26"/>
      <c r="S216" s="39">
        <f t="shared" si="9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256</v>
      </c>
      <c r="B217" s="7" t="s">
        <v>222</v>
      </c>
      <c r="C217" s="26" t="s">
        <v>56</v>
      </c>
      <c r="D217" s="54"/>
      <c r="E217" s="7"/>
      <c r="F217" s="19" t="e">
        <f>+SUM(START:END!F217)</f>
        <v>#N/A</v>
      </c>
      <c r="G217" s="56"/>
      <c r="H217" s="7"/>
      <c r="I217" s="19"/>
      <c r="J217" s="26"/>
      <c r="K217" s="7"/>
      <c r="L217" s="39">
        <f>+SUM(START:END!L217)</f>
        <v>0</v>
      </c>
      <c r="M217" s="26"/>
      <c r="N217" s="39" t="e">
        <f t="shared" si="95"/>
        <v>#N/A</v>
      </c>
      <c r="O217" s="26"/>
      <c r="P217" s="7"/>
      <c r="Q217" s="39">
        <f>+SUM(START:END!Q217)</f>
        <v>0</v>
      </c>
      <c r="R217" s="26"/>
      <c r="S217" s="39">
        <f t="shared" si="96"/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257</v>
      </c>
      <c r="B218" s="7" t="s">
        <v>222</v>
      </c>
      <c r="C218" s="26" t="s">
        <v>57</v>
      </c>
      <c r="D218" s="54"/>
      <c r="E218" s="7"/>
      <c r="F218" s="19" t="e">
        <f>+SUM(START:END!F218)</f>
        <v>#N/A</v>
      </c>
      <c r="G218" s="56"/>
      <c r="H218" s="7"/>
      <c r="I218" s="19"/>
      <c r="J218" s="26"/>
      <c r="K218" s="7"/>
      <c r="L218" s="39">
        <f>+SUM(START:END!L218)</f>
        <v>500</v>
      </c>
      <c r="M218" s="26"/>
      <c r="N218" s="39" t="e">
        <f t="shared" si="95"/>
        <v>#N/A</v>
      </c>
      <c r="O218" s="26"/>
      <c r="P218" s="7"/>
      <c r="Q218" s="39">
        <f>+SUM(START:END!Q218)</f>
        <v>196</v>
      </c>
      <c r="R218" s="26"/>
      <c r="S218" s="39">
        <f t="shared" si="96"/>
        <v>304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258</v>
      </c>
      <c r="B219" s="7" t="s">
        <v>222</v>
      </c>
      <c r="C219" s="26" t="s">
        <v>58</v>
      </c>
      <c r="D219" s="54"/>
      <c r="E219" s="7"/>
      <c r="F219" s="19" t="e">
        <f>+SUM(START:END!F219)</f>
        <v>#N/A</v>
      </c>
      <c r="G219" s="56"/>
      <c r="H219" s="7"/>
      <c r="I219" s="19"/>
      <c r="J219" s="26"/>
      <c r="K219" s="7"/>
      <c r="L219" s="39">
        <f>+SUM(START:END!L219)</f>
        <v>0</v>
      </c>
      <c r="M219" s="26"/>
      <c r="N219" s="39" t="e">
        <f t="shared" si="95"/>
        <v>#N/A</v>
      </c>
      <c r="O219" s="26"/>
      <c r="P219" s="7"/>
      <c r="Q219" s="39">
        <f>+SUM(START:END!Q219)</f>
        <v>0</v>
      </c>
      <c r="R219" s="26"/>
      <c r="S219" s="39">
        <f t="shared" si="96"/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259</v>
      </c>
      <c r="B220" s="7" t="s">
        <v>222</v>
      </c>
      <c r="C220" s="26" t="s">
        <v>59</v>
      </c>
      <c r="D220" s="54"/>
      <c r="E220" s="7"/>
      <c r="F220" s="19" t="e">
        <f>+SUM(START:END!F220)</f>
        <v>#N/A</v>
      </c>
      <c r="G220" s="56"/>
      <c r="H220" s="7"/>
      <c r="I220" s="19"/>
      <c r="J220" s="26"/>
      <c r="K220" s="7"/>
      <c r="L220" s="39">
        <f>+SUM(START:END!L220)</f>
        <v>773.85999999999967</v>
      </c>
      <c r="M220" s="26"/>
      <c r="N220" s="39" t="e">
        <f t="shared" si="95"/>
        <v>#N/A</v>
      </c>
      <c r="O220" s="26"/>
      <c r="P220" s="7"/>
      <c r="Q220" s="39">
        <f>+SUM(START:END!Q220)</f>
        <v>736.42000000000007</v>
      </c>
      <c r="R220" s="26"/>
      <c r="S220" s="39">
        <f t="shared" si="96"/>
        <v>37.4399999999996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260</v>
      </c>
      <c r="B221" s="7" t="s">
        <v>222</v>
      </c>
      <c r="C221" s="26" t="s">
        <v>60</v>
      </c>
      <c r="D221" s="54"/>
      <c r="E221" s="7"/>
      <c r="F221" s="19" t="e">
        <f>+SUM(START:END!F221)</f>
        <v>#N/A</v>
      </c>
      <c r="G221" s="56"/>
      <c r="H221" s="7"/>
      <c r="I221" s="19"/>
      <c r="J221" s="26"/>
      <c r="K221" s="7"/>
      <c r="L221" s="39">
        <f>+SUM(START:END!L221)</f>
        <v>0</v>
      </c>
      <c r="M221" s="26"/>
      <c r="N221" s="39" t="e">
        <f t="shared" si="95"/>
        <v>#N/A</v>
      </c>
      <c r="O221" s="26"/>
      <c r="P221" s="7"/>
      <c r="Q221" s="39">
        <f>+SUM(START:END!Q221)</f>
        <v>0</v>
      </c>
      <c r="R221" s="26"/>
      <c r="S221" s="39">
        <f t="shared" si="96"/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261</v>
      </c>
      <c r="B222" s="7" t="s">
        <v>222</v>
      </c>
      <c r="C222" s="26" t="s">
        <v>61</v>
      </c>
      <c r="D222" s="54"/>
      <c r="E222" s="7"/>
      <c r="F222" s="19" t="e">
        <f>+SUM(START:END!F222)</f>
        <v>#N/A</v>
      </c>
      <c r="G222" s="56"/>
      <c r="H222" s="7"/>
      <c r="I222" s="19"/>
      <c r="J222" s="26"/>
      <c r="K222" s="7"/>
      <c r="L222" s="39">
        <f>+SUM(START:END!L222)</f>
        <v>0</v>
      </c>
      <c r="M222" s="26"/>
      <c r="N222" s="39" t="e">
        <f t="shared" si="95"/>
        <v>#N/A</v>
      </c>
      <c r="O222" s="26"/>
      <c r="P222" s="7"/>
      <c r="Q222" s="39">
        <f>+SUM(START:END!Q222)</f>
        <v>0</v>
      </c>
      <c r="R222" s="26"/>
      <c r="S222" s="39">
        <f t="shared" si="9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262</v>
      </c>
      <c r="B223" s="7" t="s">
        <v>222</v>
      </c>
      <c r="C223" s="26" t="s">
        <v>62</v>
      </c>
      <c r="D223" s="54"/>
      <c r="E223" s="7"/>
      <c r="F223" s="19" t="e">
        <f>+SUM(START:END!F223)</f>
        <v>#N/A</v>
      </c>
      <c r="G223" s="56"/>
      <c r="H223" s="7"/>
      <c r="I223" s="19"/>
      <c r="J223" s="26"/>
      <c r="K223" s="7"/>
      <c r="L223" s="39">
        <f>+SUM(START:END!L223)</f>
        <v>35</v>
      </c>
      <c r="M223" s="26"/>
      <c r="N223" s="39" t="e">
        <f t="shared" si="95"/>
        <v>#N/A</v>
      </c>
      <c r="O223" s="26"/>
      <c r="P223" s="7"/>
      <c r="Q223" s="39">
        <f>+SUM(START:END!Q223)</f>
        <v>0</v>
      </c>
      <c r="R223" s="26"/>
      <c r="S223" s="39">
        <f t="shared" si="96"/>
        <v>35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260" t="s">
        <v>238</v>
      </c>
      <c r="B224" s="7" t="s">
        <v>222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95"/>
        <v>0</v>
      </c>
      <c r="O224" s="26"/>
      <c r="P224" s="7"/>
      <c r="Q224" s="39">
        <v>0</v>
      </c>
      <c r="R224" s="26"/>
      <c r="S224" s="39">
        <f t="shared" si="9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260" t="s">
        <v>238</v>
      </c>
      <c r="B225" s="7" t="s">
        <v>222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95"/>
        <v>0</v>
      </c>
      <c r="O225" s="26"/>
      <c r="P225" s="7"/>
      <c r="Q225" s="39">
        <v>0</v>
      </c>
      <c r="R225" s="26"/>
      <c r="S225" s="39">
        <f t="shared" si="9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260" t="s">
        <v>238</v>
      </c>
      <c r="B226" s="7" t="s">
        <v>222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95"/>
        <v>0</v>
      </c>
      <c r="O226" s="26"/>
      <c r="P226" s="7"/>
      <c r="Q226" s="39">
        <v>0</v>
      </c>
      <c r="R226" s="26"/>
      <c r="S226" s="39">
        <f t="shared" si="9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263</v>
      </c>
      <c r="B227" s="7" t="s">
        <v>222</v>
      </c>
      <c r="C227" s="139" t="s">
        <v>63</v>
      </c>
      <c r="D227" s="62" t="s">
        <v>38</v>
      </c>
      <c r="E227" s="63" t="e">
        <f>F227/F$109</f>
        <v>#N/A</v>
      </c>
      <c r="F227" s="64" t="e">
        <f>+SUM(F210:F226)</f>
        <v>#N/A</v>
      </c>
      <c r="G227" s="65"/>
      <c r="H227" s="63"/>
      <c r="I227" s="64"/>
      <c r="J227" s="65" t="s">
        <v>38</v>
      </c>
      <c r="K227" s="63">
        <f>L227/L$109</f>
        <v>1.9639133495088883E-2</v>
      </c>
      <c r="L227" s="64">
        <f>+SUM(L210:L226)</f>
        <v>2308.8599999999997</v>
      </c>
      <c r="M227" s="66"/>
      <c r="N227" s="64" t="e">
        <f t="shared" si="95"/>
        <v>#N/A</v>
      </c>
      <c r="O227" s="65" t="s">
        <v>38</v>
      </c>
      <c r="P227" s="63">
        <f>Q227/Q$109</f>
        <v>4.2925676595479524E-3</v>
      </c>
      <c r="Q227" s="64">
        <f>+SUM(Q210:Q226)</f>
        <v>932.42000000000007</v>
      </c>
      <c r="R227" s="67"/>
      <c r="S227" s="64">
        <f t="shared" si="96"/>
        <v>1376.4399999999996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222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264</v>
      </c>
      <c r="B229" s="7" t="s">
        <v>222</v>
      </c>
      <c r="C229" s="139" t="s">
        <v>64</v>
      </c>
      <c r="D229" s="62" t="s">
        <v>38</v>
      </c>
      <c r="E229" s="63" t="e">
        <f>F229/F$109</f>
        <v>#N/A</v>
      </c>
      <c r="F229" s="64" t="e">
        <f>F196+F209+F227</f>
        <v>#N/A</v>
      </c>
      <c r="G229" s="65"/>
      <c r="H229" s="63"/>
      <c r="I229" s="64"/>
      <c r="J229" s="65" t="s">
        <v>38</v>
      </c>
      <c r="K229" s="63">
        <f>L229/L$109</f>
        <v>0.76268542520366622</v>
      </c>
      <c r="L229" s="64">
        <f>L196+L209+L227</f>
        <v>89664.539999999979</v>
      </c>
      <c r="M229" s="66"/>
      <c r="N229" s="64" t="e">
        <f t="shared" ref="N229:N236" si="97">L229-F229</f>
        <v>#N/A</v>
      </c>
      <c r="O229" s="65" t="s">
        <v>38</v>
      </c>
      <c r="P229" s="63">
        <f>Q229/Q$109</f>
        <v>0.77879847605147312</v>
      </c>
      <c r="Q229" s="64">
        <f>Q196+Q209+Q227</f>
        <v>169168.51000000004</v>
      </c>
      <c r="R229" s="67"/>
      <c r="S229" s="64">
        <f t="shared" ref="S229:S236" si="98">L229-Q229</f>
        <v>-79503.970000000059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265</v>
      </c>
      <c r="B230" s="7" t="s">
        <v>222</v>
      </c>
      <c r="C230" s="26" t="s">
        <v>266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97"/>
        <v>0</v>
      </c>
      <c r="O230" s="96"/>
      <c r="P230" s="95"/>
      <c r="Q230" s="39">
        <v>0</v>
      </c>
      <c r="R230" s="26"/>
      <c r="S230" s="39">
        <f t="shared" si="9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267</v>
      </c>
      <c r="B231" s="7" t="s">
        <v>222</v>
      </c>
      <c r="C231" s="26" t="s">
        <v>268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97"/>
        <v>0</v>
      </c>
      <c r="O231" s="96"/>
      <c r="P231" s="95"/>
      <c r="Q231" s="39">
        <v>0</v>
      </c>
      <c r="R231" s="26"/>
      <c r="S231" s="39">
        <f t="shared" si="9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269</v>
      </c>
      <c r="B232" s="7" t="s">
        <v>222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97"/>
        <v>0</v>
      </c>
      <c r="O232" s="26"/>
      <c r="P232" s="7"/>
      <c r="Q232" s="39">
        <v>0</v>
      </c>
      <c r="R232" s="26"/>
      <c r="S232" s="39">
        <f t="shared" si="9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270</v>
      </c>
      <c r="B233" s="7" t="s">
        <v>222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97"/>
        <v>0</v>
      </c>
      <c r="O233" s="275"/>
      <c r="P233" s="274"/>
      <c r="Q233" s="39">
        <v>0</v>
      </c>
      <c r="R233" s="26"/>
      <c r="S233" s="39">
        <f t="shared" si="9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>
      <c r="A234" s="260" t="s">
        <v>238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97"/>
        <v>0</v>
      </c>
      <c r="O234" s="26"/>
      <c r="P234" s="7"/>
      <c r="Q234" s="39">
        <v>0</v>
      </c>
      <c r="R234" s="26"/>
      <c r="S234" s="39">
        <f t="shared" si="9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>
      <c r="A235" s="260" t="s">
        <v>238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97"/>
        <v>0</v>
      </c>
      <c r="O235" s="26"/>
      <c r="P235" s="7"/>
      <c r="Q235" s="39">
        <v>0</v>
      </c>
      <c r="R235" s="26"/>
      <c r="S235" s="39">
        <f t="shared" si="9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238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97"/>
        <v>0</v>
      </c>
      <c r="O236" s="26"/>
      <c r="P236" s="7"/>
      <c r="Q236" s="39">
        <v>0</v>
      </c>
      <c r="R236" s="26"/>
      <c r="S236" s="39">
        <f t="shared" si="9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-147431.99000000017</v>
      </c>
      <c r="M239" s="280"/>
      <c r="N239" s="138" t="e">
        <f>L239-F239</f>
        <v>#REF!</v>
      </c>
      <c r="O239" s="279"/>
      <c r="P239" s="278"/>
      <c r="Q239" s="138">
        <f>Q182-Q229+Q237</f>
        <v>32052.719999998197</v>
      </c>
      <c r="R239" s="281"/>
      <c r="S239" s="138">
        <f>L239-Q239</f>
        <v>-179484.70999999836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  Q3 2026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426" t="s">
        <v>5</v>
      </c>
      <c r="E244" s="427"/>
      <c r="F244" s="425"/>
      <c r="G244" s="424" t="s">
        <v>71</v>
      </c>
      <c r="H244" s="427"/>
      <c r="I244" s="425"/>
      <c r="J244" s="424" t="s">
        <v>7</v>
      </c>
      <c r="K244" s="427"/>
      <c r="L244" s="425"/>
      <c r="M244" s="424" t="s">
        <v>210</v>
      </c>
      <c r="N244" s="425"/>
      <c r="O244" s="426" t="s">
        <v>8</v>
      </c>
      <c r="P244" s="427"/>
      <c r="Q244" s="425"/>
      <c r="R244" s="424" t="s">
        <v>211</v>
      </c>
      <c r="S244" s="425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tr">
        <f t="shared" ref="A245:A300" si="99">+B245&amp;C245</f>
        <v>Service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 t="s">
        <v>39</v>
      </c>
      <c r="H245" s="53" t="s">
        <v>79</v>
      </c>
      <c r="I245" s="84" t="s">
        <v>12</v>
      </c>
      <c r="J245" s="85" t="s">
        <v>39</v>
      </c>
      <c r="K245" s="53" t="s">
        <v>79</v>
      </c>
      <c r="L245" s="84" t="s">
        <v>12</v>
      </c>
      <c r="M245" s="85" t="s">
        <v>217</v>
      </c>
      <c r="N245" s="84" t="s">
        <v>214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tr">
        <f t="shared" si="99"/>
        <v>ServiceM/O Client</v>
      </c>
      <c r="B246" s="7" t="s">
        <v>78</v>
      </c>
      <c r="C246" s="26" t="s">
        <v>81</v>
      </c>
      <c r="D246" s="55" t="e">
        <f>+SUM(START:END!D246)</f>
        <v>#N/A</v>
      </c>
      <c r="E246" s="55" t="e">
        <f>+SUM(START:END!E246)</f>
        <v>#N/A</v>
      </c>
      <c r="F246" s="55" t="e">
        <f>+SUM(START:END!F246)</f>
        <v>#N/A</v>
      </c>
      <c r="G246" s="40">
        <f>+SUM(START:END!G246)</f>
        <v>0</v>
      </c>
      <c r="H246" s="55">
        <f>+SUM(START:END!H246)</f>
        <v>0</v>
      </c>
      <c r="I246" s="55">
        <f>+SUM(START:END!I246)</f>
        <v>0</v>
      </c>
      <c r="J246" s="20">
        <f>+SUM(START:END!J246)</f>
        <v>673</v>
      </c>
      <c r="K246" s="55">
        <f>+SUM(START:END!K246)</f>
        <v>154808.31000000006</v>
      </c>
      <c r="L246" s="39">
        <f>+SUM(START:END!L246)</f>
        <v>107144.17000000004</v>
      </c>
      <c r="M246" s="99" t="e">
        <f>(K246-E246)/E246</f>
        <v>#N/A</v>
      </c>
      <c r="N246" s="39" t="e">
        <f>L246-F246</f>
        <v>#N/A</v>
      </c>
      <c r="O246" s="20">
        <f>+SUM(START:END!O246)</f>
        <v>574</v>
      </c>
      <c r="P246" s="55">
        <f>+SUM(START:END!P246)</f>
        <v>223919.87</v>
      </c>
      <c r="Q246" s="39">
        <f>+SUM(START:END!Q246)</f>
        <v>177564.78999999998</v>
      </c>
      <c r="R246" s="99">
        <f>IF(O246=0,0,J246/O246)</f>
        <v>1.1724738675958188</v>
      </c>
      <c r="S246" s="39">
        <f>L246-Q246</f>
        <v>-70420.619999999937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tr">
        <f t="shared" si="99"/>
        <v>Service% profit / ventes</v>
      </c>
      <c r="B247" s="7" t="s">
        <v>78</v>
      </c>
      <c r="C247" s="26" t="s">
        <v>82</v>
      </c>
      <c r="D247" s="55"/>
      <c r="E247" s="91"/>
      <c r="F247" s="100" t="e">
        <f>F246/E246</f>
        <v>#N/A</v>
      </c>
      <c r="G247" s="40"/>
      <c r="H247" s="91"/>
      <c r="I247" s="100" t="e">
        <f>I246/H246</f>
        <v>#DIV/0!</v>
      </c>
      <c r="J247" s="40"/>
      <c r="K247" s="7"/>
      <c r="L247" s="100">
        <f>L246/K246</f>
        <v>0.69210864713916198</v>
      </c>
      <c r="M247" s="99"/>
      <c r="N247" s="39"/>
      <c r="O247" s="40"/>
      <c r="P247" s="7"/>
      <c r="Q247" s="100">
        <f>Q246/P246</f>
        <v>0.79298362400799882</v>
      </c>
      <c r="R247" s="40"/>
      <c r="S247" s="100"/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tr">
        <f t="shared" si="99"/>
        <v>Service</v>
      </c>
      <c r="B248" s="7" t="s">
        <v>78</v>
      </c>
      <c r="C248" s="14"/>
      <c r="D248" s="58"/>
      <c r="E248" s="312">
        <f>IFERROR(E246/D246,0)</f>
        <v>0</v>
      </c>
      <c r="F248" s="102"/>
      <c r="G248" s="103"/>
      <c r="H248" s="312">
        <f>IFERROR(H246/G246,0)</f>
        <v>0</v>
      </c>
      <c r="I248" s="102"/>
      <c r="J248" s="103"/>
      <c r="K248" s="312">
        <f>IFERROR(K246/J246,0)</f>
        <v>230.02720653789012</v>
      </c>
      <c r="L248" s="102"/>
      <c r="M248" s="104"/>
      <c r="N248" s="61"/>
      <c r="O248" s="103"/>
      <c r="P248" s="312">
        <f>IFERROR(P246/O246,0)</f>
        <v>390.10430313588847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tr">
        <f t="shared" si="99"/>
        <v>ServiceM/O Garantie</v>
      </c>
      <c r="B249" s="7" t="s">
        <v>78</v>
      </c>
      <c r="C249" s="71" t="s">
        <v>83</v>
      </c>
      <c r="D249" s="105" t="e">
        <f>+SUM(START:END!D249)</f>
        <v>#N/A</v>
      </c>
      <c r="E249" s="55" t="e">
        <f>+SUM(START:END!E249)</f>
        <v>#N/A</v>
      </c>
      <c r="F249" s="55" t="e">
        <f>+SUM(START:END!F249)</f>
        <v>#N/A</v>
      </c>
      <c r="G249" s="106">
        <f>+SUM(START:END!G249)</f>
        <v>0</v>
      </c>
      <c r="H249" s="55">
        <f>+SUM(START:END!H249)</f>
        <v>0</v>
      </c>
      <c r="I249" s="55">
        <f>+SUM(START:END!I249)</f>
        <v>0</v>
      </c>
      <c r="J249" s="20">
        <f>+SUM(START:END!J249)</f>
        <v>819</v>
      </c>
      <c r="K249" s="105">
        <f>+SUM(START:END!K249)</f>
        <v>127881.70999999996</v>
      </c>
      <c r="L249" s="39">
        <f>+SUM(START:END!L249)</f>
        <v>79387.269999999975</v>
      </c>
      <c r="M249" s="99" t="e">
        <f>(K249-E249)/E249</f>
        <v>#N/A</v>
      </c>
      <c r="N249" s="72" t="e">
        <f>L249-F249</f>
        <v>#N/A</v>
      </c>
      <c r="O249" s="20">
        <f>+SUM(START:END!O249)</f>
        <v>935</v>
      </c>
      <c r="P249" s="105">
        <f>+SUM(START:END!P249)</f>
        <v>151015.76</v>
      </c>
      <c r="Q249" s="39">
        <f>+SUM(START:END!Q249)</f>
        <v>101726.29000000002</v>
      </c>
      <c r="R249" s="99">
        <f>IF(O249=0,0,J249/O249)</f>
        <v>0.87593582887700538</v>
      </c>
      <c r="S249" s="39">
        <f>L249-Q249</f>
        <v>-22339.020000000048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tr">
        <f t="shared" si="99"/>
        <v>Service% profit / ventes</v>
      </c>
      <c r="B250" s="7" t="s">
        <v>78</v>
      </c>
      <c r="C250" s="26" t="s">
        <v>82</v>
      </c>
      <c r="D250" s="7"/>
      <c r="E250" s="7"/>
      <c r="F250" s="100" t="e">
        <f>F249/E249</f>
        <v>#N/A</v>
      </c>
      <c r="G250" s="26"/>
      <c r="H250" s="7"/>
      <c r="I250" s="100" t="e">
        <f>I249/H249</f>
        <v>#DIV/0!</v>
      </c>
      <c r="J250" s="26"/>
      <c r="K250" s="7"/>
      <c r="L250" s="100">
        <f>L249/K249</f>
        <v>0.62078674112193211</v>
      </c>
      <c r="M250" s="99"/>
      <c r="N250" s="100"/>
      <c r="O250" s="26"/>
      <c r="P250" s="7"/>
      <c r="Q250" s="100">
        <f>Q249/P249</f>
        <v>0.67361373408974012</v>
      </c>
      <c r="R250" s="99"/>
      <c r="S250" s="100"/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tr">
        <f t="shared" si="99"/>
        <v>Service</v>
      </c>
      <c r="B251" s="7" t="s">
        <v>78</v>
      </c>
      <c r="C251" s="14"/>
      <c r="D251" s="73"/>
      <c r="E251" s="312"/>
      <c r="F251" s="102"/>
      <c r="G251" s="103"/>
      <c r="H251" s="312"/>
      <c r="I251" s="102"/>
      <c r="J251" s="103"/>
      <c r="K251" s="312"/>
      <c r="L251" s="102"/>
      <c r="M251" s="104"/>
      <c r="N251" s="61"/>
      <c r="O251" s="103"/>
      <c r="P251" s="312"/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tr">
        <f t="shared" si="99"/>
        <v>ServiceM/O Interne</v>
      </c>
      <c r="B252" s="7" t="s">
        <v>78</v>
      </c>
      <c r="C252" s="26" t="s">
        <v>84</v>
      </c>
      <c r="D252" s="55" t="e">
        <f>+SUM(START:END!D252)</f>
        <v>#N/A</v>
      </c>
      <c r="E252" s="55" t="e">
        <f>+SUM(START:END!E252)</f>
        <v>#N/A</v>
      </c>
      <c r="F252" s="55" t="e">
        <f>+SUM(START:END!F252)</f>
        <v>#N/A</v>
      </c>
      <c r="G252" s="40">
        <f>+SUM(START:END!G252)</f>
        <v>0</v>
      </c>
      <c r="H252" s="55">
        <f>+SUM(START:END!H252)</f>
        <v>0</v>
      </c>
      <c r="I252" s="55">
        <f>+SUM(START:END!I252)</f>
        <v>0</v>
      </c>
      <c r="J252" s="20">
        <f>+SUM(START:END!J252)</f>
        <v>1174</v>
      </c>
      <c r="K252" s="105">
        <f>+SUM(START:END!K252)</f>
        <v>194324.84999999995</v>
      </c>
      <c r="L252" s="39">
        <f>+SUM(START:END!L252)</f>
        <v>141198.57999999996</v>
      </c>
      <c r="M252" s="99" t="e">
        <f>(K252-E252)/E252</f>
        <v>#N/A</v>
      </c>
      <c r="N252" s="39" t="e">
        <f>L252-F252</f>
        <v>#N/A</v>
      </c>
      <c r="O252" s="20">
        <f>+SUM(START:END!O252)</f>
        <v>1336</v>
      </c>
      <c r="P252" s="105">
        <f>+SUM(START:END!P252)</f>
        <v>180896.39999999997</v>
      </c>
      <c r="Q252" s="39">
        <f>+SUM(START:END!Q252)</f>
        <v>132870.29999999996</v>
      </c>
      <c r="R252" s="99">
        <f>IF(O252=0,0,J252/O252)</f>
        <v>0.87874251497005984</v>
      </c>
      <c r="S252" s="39">
        <f>L252-Q252</f>
        <v>8328.2799999999988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tr">
        <f t="shared" si="99"/>
        <v>Service% profit / ventes</v>
      </c>
      <c r="B253" s="7" t="s">
        <v>78</v>
      </c>
      <c r="C253" s="26" t="s">
        <v>82</v>
      </c>
      <c r="D253" s="55"/>
      <c r="E253" s="91"/>
      <c r="F253" s="100" t="e">
        <f>F252/E252</f>
        <v>#N/A</v>
      </c>
      <c r="G253" s="40"/>
      <c r="H253" s="91"/>
      <c r="I253" s="100" t="e">
        <f>I252/H252</f>
        <v>#DIV/0!</v>
      </c>
      <c r="J253" s="40"/>
      <c r="K253" s="91"/>
      <c r="L253" s="100">
        <f>L252/K252</f>
        <v>0.72661103302022356</v>
      </c>
      <c r="M253" s="99"/>
      <c r="N253" s="39" t="e">
        <f>L253-F253</f>
        <v>#N/A</v>
      </c>
      <c r="O253" s="40"/>
      <c r="P253" s="91"/>
      <c r="Q253" s="100">
        <f>Q252/P252</f>
        <v>0.73451047118682289</v>
      </c>
      <c r="R253" s="40">
        <f>O253-K253</f>
        <v>0</v>
      </c>
      <c r="S253" s="100"/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tr">
        <f t="shared" si="99"/>
        <v>Service</v>
      </c>
      <c r="B254" s="7" t="s">
        <v>78</v>
      </c>
      <c r="C254" s="26"/>
      <c r="D254" s="55"/>
      <c r="E254" s="312"/>
      <c r="F254" s="102"/>
      <c r="G254" s="103"/>
      <c r="H254" s="312"/>
      <c r="I254" s="102"/>
      <c r="J254" s="103"/>
      <c r="K254" s="312"/>
      <c r="L254" s="102"/>
      <c r="M254" s="104"/>
      <c r="N254" s="61"/>
      <c r="O254" s="103"/>
      <c r="P254" s="312"/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tr">
        <f t="shared" si="99"/>
        <v>ServiceM/O Esthétique</v>
      </c>
      <c r="B255" s="7" t="s">
        <v>78</v>
      </c>
      <c r="C255" s="71" t="s">
        <v>85</v>
      </c>
      <c r="D255" s="105" t="e">
        <f>+SUM(START:END!D255)</f>
        <v>#N/A</v>
      </c>
      <c r="E255" s="55" t="e">
        <f>+SUM(START:END!E255)</f>
        <v>#N/A</v>
      </c>
      <c r="F255" s="55" t="e">
        <f>+SUM(START:END!F255)</f>
        <v>#N/A</v>
      </c>
      <c r="G255" s="106">
        <f>+SUM(START:END!G255)</f>
        <v>0</v>
      </c>
      <c r="H255" s="55">
        <f>+SUM(START:END!H255)</f>
        <v>0</v>
      </c>
      <c r="I255" s="55">
        <f>+SUM(START:END!I255)</f>
        <v>0</v>
      </c>
      <c r="J255" s="20">
        <f>+SUM(START:END!J255)</f>
        <v>0</v>
      </c>
      <c r="K255" s="105">
        <f>+SUM(START:END!K255)</f>
        <v>0</v>
      </c>
      <c r="L255" s="72">
        <f>+SUM(START:END!L255)</f>
        <v>0</v>
      </c>
      <c r="M255" s="109" t="e">
        <f>IF(E255=0,0,(K255-E255)/E255)</f>
        <v>#N/A</v>
      </c>
      <c r="N255" s="72" t="e">
        <f>L255-F255</f>
        <v>#N/A</v>
      </c>
      <c r="O255" s="20">
        <f>+SUM(START:END!O255)</f>
        <v>0</v>
      </c>
      <c r="P255" s="105">
        <f>+SUM(START:END!P255)</f>
        <v>0</v>
      </c>
      <c r="Q255" s="72">
        <f>+SUM(START:END!Q255)</f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tr">
        <f t="shared" si="99"/>
        <v>Service% profit / ventes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>
        <f>IFERROR(I255/H255,0)</f>
        <v>0</v>
      </c>
      <c r="J256" s="40"/>
      <c r="K256" s="91"/>
      <c r="L256" s="100">
        <f>IFERROR(L255/K255,0)</f>
        <v>0</v>
      </c>
      <c r="M256" s="40">
        <f>J256-D256</f>
        <v>0</v>
      </c>
      <c r="N256" s="39"/>
      <c r="O256" s="40"/>
      <c r="P256" s="91"/>
      <c r="Q256" s="100">
        <f>IFERROR(Q255/P255,0)</f>
        <v>0</v>
      </c>
      <c r="R256" s="26"/>
      <c r="S256" s="100"/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tr">
        <f t="shared" si="99"/>
        <v>Service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2"/>
      <c r="L257" s="102"/>
      <c r="M257" s="103"/>
      <c r="N257" s="61"/>
      <c r="O257" s="103"/>
      <c r="P257" s="312"/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tr">
        <f t="shared" si="99"/>
        <v>ServiceAjustement M/O</v>
      </c>
      <c r="B258" s="7" t="s">
        <v>78</v>
      </c>
      <c r="C258" s="26" t="s">
        <v>86</v>
      </c>
      <c r="D258" s="7"/>
      <c r="E258" s="7"/>
      <c r="F258" s="39" t="e">
        <f>+SUM(START:END!F258)</f>
        <v>#N/A</v>
      </c>
      <c r="G258" s="26"/>
      <c r="H258" s="55"/>
      <c r="I258" s="55">
        <f>+SUM(START:END!I258)</f>
        <v>0</v>
      </c>
      <c r="J258" s="40"/>
      <c r="K258" s="55"/>
      <c r="L258" s="55">
        <f>+SUM(START:END!L258)</f>
        <v>5096.5300000000007</v>
      </c>
      <c r="M258" s="40"/>
      <c r="N258" s="39" t="e">
        <f>L258-F258</f>
        <v>#N/A</v>
      </c>
      <c r="O258" s="40"/>
      <c r="P258" s="55"/>
      <c r="Q258" s="55">
        <f>+SUM(START:END!Q258)</f>
        <v>4764.6400000000031</v>
      </c>
      <c r="R258" s="313"/>
      <c r="S258" s="39">
        <f>L258-Q258</f>
        <v>331.8899999999976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260" t="str">
        <f t="shared" si="99"/>
        <v>ServiceSous-total M/O</v>
      </c>
      <c r="B259" s="7" t="s">
        <v>78</v>
      </c>
      <c r="C259" s="314" t="s">
        <v>87</v>
      </c>
      <c r="D259" s="116"/>
      <c r="E259" s="116" t="e">
        <f>E246+E249+E252+E255+E258</f>
        <v>#N/A</v>
      </c>
      <c r="F259" s="117" t="e">
        <f>F246+F249+F252+F255+F258</f>
        <v>#N/A</v>
      </c>
      <c r="G259" s="118"/>
      <c r="H259" s="116">
        <f>H246+H249+H252+H255+H258</f>
        <v>0</v>
      </c>
      <c r="I259" s="117">
        <f>I246+I249+I252+I255+I258</f>
        <v>0</v>
      </c>
      <c r="J259" s="315"/>
      <c r="K259" s="316">
        <f>K246+K249+K252+K255+K258</f>
        <v>477014.87</v>
      </c>
      <c r="L259" s="317">
        <f>L246+L249+L252+L255+L258</f>
        <v>332826.55</v>
      </c>
      <c r="M259" s="318" t="e">
        <f>(K259-E259)/E259</f>
        <v>#N/A</v>
      </c>
      <c r="N259" s="317" t="e">
        <f>L259-F259</f>
        <v>#N/A</v>
      </c>
      <c r="O259" s="315"/>
      <c r="P259" s="316">
        <f>P246+P249+P252+P255+P258</f>
        <v>555832.03</v>
      </c>
      <c r="Q259" s="317">
        <f>Q246+Q249+Q252+Q255+Q258</f>
        <v>416926.02</v>
      </c>
      <c r="R259" s="27">
        <f>IF(O259=0,0,J259/O259)</f>
        <v>0</v>
      </c>
      <c r="S259" s="117">
        <f>L259-Q259</f>
        <v>-84099.47000000003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tr">
        <f t="shared" si="99"/>
        <v>Service% protit / ventes</v>
      </c>
      <c r="B260" s="7" t="s">
        <v>78</v>
      </c>
      <c r="C260" s="319" t="s">
        <v>88</v>
      </c>
      <c r="D260" s="119"/>
      <c r="E260" s="320"/>
      <c r="F260" s="120" t="e">
        <f>F259/E259</f>
        <v>#N/A</v>
      </c>
      <c r="G260" s="121"/>
      <c r="H260" s="320"/>
      <c r="I260" s="28" t="e">
        <f>I259/H259</f>
        <v>#DIV/0!</v>
      </c>
      <c r="J260" s="114"/>
      <c r="K260" s="321"/>
      <c r="L260" s="28">
        <f>L259/K259</f>
        <v>0.69772782974249836</v>
      </c>
      <c r="M260" s="114"/>
      <c r="N260" s="107" t="e">
        <f>N259/F259</f>
        <v>#N/A</v>
      </c>
      <c r="O260" s="114"/>
      <c r="P260" s="321"/>
      <c r="Q260" s="28">
        <f>Q259/P259</f>
        <v>0.75009354894499336</v>
      </c>
      <c r="R260" s="121"/>
      <c r="S260" s="28">
        <f>IF(R259=0,0,S259/R259)</f>
        <v>0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tr">
        <f t="shared" si="99"/>
        <v>Service</v>
      </c>
      <c r="B261" s="7" t="s">
        <v>78</v>
      </c>
      <c r="C261" s="71"/>
      <c r="D261" s="105"/>
      <c r="E261" s="322"/>
      <c r="F261" s="72"/>
      <c r="G261" s="106"/>
      <c r="H261" s="322"/>
      <c r="I261" s="72"/>
      <c r="J261" s="106"/>
      <c r="K261" s="322"/>
      <c r="L261" s="72"/>
      <c r="M261" s="106"/>
      <c r="N261" s="72"/>
      <c r="O261" s="106"/>
      <c r="P261" s="322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tr">
        <f t="shared" si="99"/>
        <v>ServiceSous-traitement</v>
      </c>
      <c r="B262" s="7" t="s">
        <v>78</v>
      </c>
      <c r="C262" s="26" t="s">
        <v>89</v>
      </c>
      <c r="D262" s="55"/>
      <c r="E262" s="55" t="e">
        <f>+SUM(START:END!E262)</f>
        <v>#N/A</v>
      </c>
      <c r="F262" s="55" t="e">
        <f>+SUM(START:END!F262)</f>
        <v>#N/A</v>
      </c>
      <c r="G262" s="40"/>
      <c r="H262" s="55">
        <f>+SUM(START:END!H262)</f>
        <v>0</v>
      </c>
      <c r="I262" s="55">
        <f>+SUM(START:END!I262)</f>
        <v>0</v>
      </c>
      <c r="J262" s="20"/>
      <c r="K262" s="55">
        <f>+SUM(START:END!K262)</f>
        <v>45972.609999999986</v>
      </c>
      <c r="L262" s="39">
        <f>+SUM(START:END!L262)</f>
        <v>11106.279999999984</v>
      </c>
      <c r="M262" s="99" t="e">
        <f>IF(E262=0,0,(K262-E262)/E262)</f>
        <v>#N/A</v>
      </c>
      <c r="N262" s="39" t="e">
        <f>L262-F262</f>
        <v>#N/A</v>
      </c>
      <c r="O262" s="20"/>
      <c r="P262" s="55">
        <f>+SUM(START:END!P262)</f>
        <v>70898.12</v>
      </c>
      <c r="Q262" s="39">
        <f>+SUM(START:END!Q262)</f>
        <v>15307.339999999991</v>
      </c>
      <c r="R262" s="99">
        <f>IF(O262=0,0,J262/O262)</f>
        <v>0</v>
      </c>
      <c r="S262" s="39">
        <f>L262-Q262</f>
        <v>-4201.0600000000068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tr">
        <f t="shared" si="99"/>
        <v>Service% profit / ventes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>
        <f>IFERROR(I262/H262,0)</f>
        <v>0</v>
      </c>
      <c r="J263" s="40"/>
      <c r="K263" s="91"/>
      <c r="L263" s="100">
        <f>IFERROR(L262/K262,0)</f>
        <v>0.24158471750896865</v>
      </c>
      <c r="M263" s="40"/>
      <c r="N263" s="39"/>
      <c r="O263" s="40"/>
      <c r="P263" s="91"/>
      <c r="Q263" s="100">
        <f>IFERROR(Q262/P262,0)</f>
        <v>0.21590614814610024</v>
      </c>
      <c r="R263" s="40"/>
      <c r="S263" s="100"/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tr">
        <f t="shared" si="99"/>
        <v>Service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tr">
        <f t="shared" si="99"/>
        <v>ServiceM.O. Recond. MCPA</v>
      </c>
      <c r="B265" s="7" t="s">
        <v>78</v>
      </c>
      <c r="C265" s="26" t="s">
        <v>90</v>
      </c>
      <c r="D265" s="7"/>
      <c r="E265" s="55" t="e">
        <f>+SUM(START:END!E265)</f>
        <v>#N/A</v>
      </c>
      <c r="F265" s="55" t="e">
        <f>+SUM(START:END!F265)</f>
        <v>#N/A</v>
      </c>
      <c r="G265" s="26"/>
      <c r="H265" s="55">
        <f>+SUM(START:END!H265)</f>
        <v>0</v>
      </c>
      <c r="I265" s="55">
        <f>+SUM(START:END!I265)</f>
        <v>0</v>
      </c>
      <c r="J265" s="20"/>
      <c r="K265" s="19">
        <f>+SUM(START:END!K265)</f>
        <v>0</v>
      </c>
      <c r="L265" s="21">
        <f>+SUM(START:END!L265)</f>
        <v>0</v>
      </c>
      <c r="M265" s="99"/>
      <c r="N265" s="39"/>
      <c r="O265" s="20"/>
      <c r="P265" s="19">
        <f>+SUM(START:END!P265)</f>
        <v>0</v>
      </c>
      <c r="Q265" s="21">
        <f>+SUM(START:END!Q265)</f>
        <v>0</v>
      </c>
      <c r="R265" s="99"/>
      <c r="S265" s="39"/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tr">
        <f t="shared" si="99"/>
        <v>Service% profit / ventes</v>
      </c>
      <c r="B266" s="7" t="s">
        <v>78</v>
      </c>
      <c r="C266" s="26" t="s">
        <v>82</v>
      </c>
      <c r="D266" s="7"/>
      <c r="E266" s="91"/>
      <c r="F266" s="100" t="e">
        <f>IF(F265=0,0,F265/E265)</f>
        <v>#N/A</v>
      </c>
      <c r="G266" s="26"/>
      <c r="H266" s="91"/>
      <c r="I266" s="100">
        <f>IF(I265=0,0,I265/H265)</f>
        <v>0</v>
      </c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tr">
        <f t="shared" si="99"/>
        <v>Service</v>
      </c>
      <c r="B267" s="7" t="s">
        <v>78</v>
      </c>
      <c r="C267" s="323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tr">
        <f t="shared" si="99"/>
        <v>ServiceTotal Mécanique</v>
      </c>
      <c r="B268" s="7" t="s">
        <v>78</v>
      </c>
      <c r="C268" s="264" t="s">
        <v>91</v>
      </c>
      <c r="D268" s="41"/>
      <c r="E268" s="42" t="e">
        <f>E259+E262+E265</f>
        <v>#N/A</v>
      </c>
      <c r="F268" s="43" t="e">
        <f>F259+F262+F265</f>
        <v>#N/A</v>
      </c>
      <c r="G268" s="44"/>
      <c r="H268" s="42">
        <f>H259+H262+H265</f>
        <v>0</v>
      </c>
      <c r="I268" s="43">
        <f>I259+I262+I265</f>
        <v>0</v>
      </c>
      <c r="J268" s="44"/>
      <c r="K268" s="41">
        <f>K259+K262+K265</f>
        <v>522987.48</v>
      </c>
      <c r="L268" s="43">
        <f>L259+L262+L265</f>
        <v>343932.82999999996</v>
      </c>
      <c r="M268" s="44" t="e">
        <f>L269-F269</f>
        <v>#N/A</v>
      </c>
      <c r="N268" s="43" t="e">
        <f>L268-F268</f>
        <v>#N/A</v>
      </c>
      <c r="O268" s="44"/>
      <c r="P268" s="41">
        <f>P259+P262+P265</f>
        <v>626730.15</v>
      </c>
      <c r="Q268" s="43">
        <f>Q259+Q262+Q265</f>
        <v>432233.36</v>
      </c>
      <c r="R268" s="44">
        <f>L269-Q269</f>
        <v>-3.203312328250707E-2</v>
      </c>
      <c r="S268" s="43">
        <f>L268-Q268</f>
        <v>-88300.530000000028</v>
      </c>
      <c r="T268" s="7"/>
      <c r="U268" s="55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tr">
        <f t="shared" si="99"/>
        <v>Service</v>
      </c>
      <c r="B269" s="7" t="s">
        <v>78</v>
      </c>
      <c r="C269" s="47"/>
      <c r="D269" s="45"/>
      <c r="E269" s="45"/>
      <c r="F269" s="46" t="e">
        <f>F268/E268</f>
        <v>#N/A</v>
      </c>
      <c r="G269" s="47"/>
      <c r="H269" s="45"/>
      <c r="I269" s="46" t="e">
        <f>I268/H268</f>
        <v>#DIV/0!</v>
      </c>
      <c r="J269" s="47"/>
      <c r="K269" s="265"/>
      <c r="L269" s="267">
        <f>L268/K268</f>
        <v>0.65763109663734198</v>
      </c>
      <c r="M269" s="48"/>
      <c r="N269" s="49" t="e">
        <f>N268/F268</f>
        <v>#N/A</v>
      </c>
      <c r="O269" s="47"/>
      <c r="P269" s="265"/>
      <c r="Q269" s="267">
        <f>Q268/P268</f>
        <v>0.68966421991984905</v>
      </c>
      <c r="R269" s="48"/>
      <c r="S269" s="267">
        <f>L268/S268</f>
        <v>-3.8950256583963863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tr">
        <f t="shared" si="99"/>
        <v>Service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tr">
        <f t="shared" si="99"/>
        <v>ServiceDEPENSES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tr">
        <f t="shared" si="99"/>
        <v>ServiceSalaires cadres</v>
      </c>
      <c r="B272" s="7" t="s">
        <v>78</v>
      </c>
      <c r="C272" s="271" t="s">
        <v>40</v>
      </c>
      <c r="D272" s="7"/>
      <c r="E272" s="7"/>
      <c r="F272" s="19" t="e">
        <f>+SUM(START:END!F272)</f>
        <v>#N/A</v>
      </c>
      <c r="G272" s="26"/>
      <c r="H272" s="7"/>
      <c r="I272" s="19">
        <f>+SUM(START:END!I272)</f>
        <v>0</v>
      </c>
      <c r="J272" s="26"/>
      <c r="K272" s="7"/>
      <c r="L272" s="39">
        <f>+SUM(START:END!L272)</f>
        <v>37119.579999999994</v>
      </c>
      <c r="M272" s="26"/>
      <c r="N272" s="39" t="e">
        <f t="shared" ref="N272:N303" si="100">L272-F272</f>
        <v>#N/A</v>
      </c>
      <c r="O272" s="26"/>
      <c r="P272" s="7"/>
      <c r="Q272" s="39">
        <f>+SUM(START:END!Q272)</f>
        <v>37307.89</v>
      </c>
      <c r="R272" s="26"/>
      <c r="S272" s="39">
        <f t="shared" ref="S272:S277" si="101">L272-Q272</f>
        <v>-188.31000000000495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tr">
        <f t="shared" si="99"/>
        <v>ServiceSalaires commis</v>
      </c>
      <c r="B273" s="7" t="s">
        <v>78</v>
      </c>
      <c r="C273" s="272" t="s">
        <v>41</v>
      </c>
      <c r="D273" s="54"/>
      <c r="E273" s="7"/>
      <c r="F273" s="31" t="e">
        <f>+SUM(START:END!F273)</f>
        <v>#N/A</v>
      </c>
      <c r="G273" s="56"/>
      <c r="H273" s="7"/>
      <c r="I273" s="31">
        <f>+SUM(START:END!I273)</f>
        <v>0</v>
      </c>
      <c r="J273" s="26"/>
      <c r="K273" s="7"/>
      <c r="L273" s="39">
        <f>+SUM(START:END!L273)</f>
        <v>21841.160000000003</v>
      </c>
      <c r="M273" s="26"/>
      <c r="N273" s="39" t="e">
        <f t="shared" si="100"/>
        <v>#N/A</v>
      </c>
      <c r="O273" s="26"/>
      <c r="P273" s="7"/>
      <c r="Q273" s="39">
        <f>+SUM(START:END!Q273)</f>
        <v>76988.98000000001</v>
      </c>
      <c r="R273" s="26"/>
      <c r="S273" s="39">
        <f t="shared" si="101"/>
        <v>-55147.820000000007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260" t="str">
        <f t="shared" si="99"/>
        <v>ServiceSalaires autres</v>
      </c>
      <c r="B274" s="7" t="s">
        <v>78</v>
      </c>
      <c r="C274" s="271" t="s">
        <v>42</v>
      </c>
      <c r="D274" s="68"/>
      <c r="E274" s="69"/>
      <c r="F274" s="19" t="e">
        <f>+SUM(START:END!F274)</f>
        <v>#N/A</v>
      </c>
      <c r="G274" s="70"/>
      <c r="H274" s="69"/>
      <c r="I274" s="19">
        <f>+SUM(START:END!I274)</f>
        <v>0</v>
      </c>
      <c r="J274" s="71"/>
      <c r="K274" s="69"/>
      <c r="L274" s="72">
        <f>+SUM(START:END!L274)</f>
        <v>45207.51999999999</v>
      </c>
      <c r="M274" s="71"/>
      <c r="N274" s="72" t="e">
        <f t="shared" si="100"/>
        <v>#N/A</v>
      </c>
      <c r="O274" s="71"/>
      <c r="P274" s="69"/>
      <c r="Q274" s="72">
        <f>+SUM(START:END!Q274)</f>
        <v>75710.739999999991</v>
      </c>
      <c r="R274" s="71"/>
      <c r="S274" s="72">
        <f t="shared" si="101"/>
        <v>-30503.22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260" t="str">
        <f t="shared" si="99"/>
        <v>ServiceSalaires spécialistes</v>
      </c>
      <c r="B275" s="7" t="s">
        <v>78</v>
      </c>
      <c r="C275" s="271" t="s">
        <v>43</v>
      </c>
      <c r="D275" s="54"/>
      <c r="E275" s="324"/>
      <c r="F275" s="19" t="e">
        <f>+SUM(START:END!F275)</f>
        <v>#N/A</v>
      </c>
      <c r="G275" s="56"/>
      <c r="H275" s="7"/>
      <c r="I275" s="19">
        <f>+SUM(START:END!I275)</f>
        <v>0</v>
      </c>
      <c r="J275" s="26"/>
      <c r="K275" s="325"/>
      <c r="L275" s="39">
        <f>+SUM(START:END!L275)</f>
        <v>34551.339999999997</v>
      </c>
      <c r="M275" s="26"/>
      <c r="N275" s="39" t="e">
        <f t="shared" si="100"/>
        <v>#N/A</v>
      </c>
      <c r="O275" s="26"/>
      <c r="P275" s="325"/>
      <c r="Q275" s="39">
        <f>+SUM(START:END!Q275)</f>
        <v>0</v>
      </c>
      <c r="R275" s="26"/>
      <c r="S275" s="39">
        <f t="shared" si="101"/>
        <v>34551.339999999997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260" t="str">
        <f t="shared" si="99"/>
        <v>Service[...]</v>
      </c>
      <c r="B276" s="7" t="s">
        <v>78</v>
      </c>
      <c r="C276" s="26" t="s">
        <v>19</v>
      </c>
      <c r="D276" s="54"/>
      <c r="E276" s="7"/>
      <c r="F276" s="19" t="e">
        <f>+SUM(START:END!F276)</f>
        <v>#N/A</v>
      </c>
      <c r="G276" s="56"/>
      <c r="H276" s="7"/>
      <c r="I276" s="19">
        <f>+SUM(START:END!I276)</f>
        <v>0</v>
      </c>
      <c r="J276" s="26"/>
      <c r="K276" s="7"/>
      <c r="L276" s="39">
        <f>+SUM(START:END!L276)</f>
        <v>0</v>
      </c>
      <c r="M276" s="26"/>
      <c r="N276" s="39" t="e">
        <f t="shared" si="100"/>
        <v>#N/A</v>
      </c>
      <c r="O276" s="26"/>
      <c r="P276" s="7"/>
      <c r="Q276" s="39">
        <f>+SUM(START:END!Q276)</f>
        <v>0</v>
      </c>
      <c r="R276" s="26"/>
      <c r="S276" s="39">
        <f t="shared" si="101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260" t="str">
        <f t="shared" si="99"/>
        <v>Service[...]</v>
      </c>
      <c r="B277" s="7" t="s">
        <v>78</v>
      </c>
      <c r="C277" s="26" t="s">
        <v>19</v>
      </c>
      <c r="D277" s="54"/>
      <c r="E277" s="7"/>
      <c r="F277" s="19" t="e">
        <f>+SUM(START:END!F277)</f>
        <v>#N/A</v>
      </c>
      <c r="G277" s="56"/>
      <c r="H277" s="7"/>
      <c r="I277" s="19">
        <f>+SUM(START:END!I277)</f>
        <v>0</v>
      </c>
      <c r="J277" s="26"/>
      <c r="K277" s="7"/>
      <c r="L277" s="39">
        <f>+SUM(START:END!L277)</f>
        <v>0</v>
      </c>
      <c r="M277" s="26"/>
      <c r="N277" s="39" t="e">
        <f t="shared" si="100"/>
        <v>#N/A</v>
      </c>
      <c r="O277" s="26"/>
      <c r="P277" s="7"/>
      <c r="Q277" s="39">
        <f>+SUM(START:END!Q277)</f>
        <v>0</v>
      </c>
      <c r="R277" s="26"/>
      <c r="S277" s="39">
        <f t="shared" si="101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260" t="str">
        <f t="shared" si="99"/>
        <v>Service[...]</v>
      </c>
      <c r="B278" s="7" t="s">
        <v>78</v>
      </c>
      <c r="C278" s="26" t="s">
        <v>19</v>
      </c>
      <c r="D278" s="54"/>
      <c r="E278" s="7"/>
      <c r="F278" s="19" t="e">
        <f>+SUM(START:END!F278)</f>
        <v>#N/A</v>
      </c>
      <c r="G278" s="56"/>
      <c r="H278" s="7"/>
      <c r="I278" s="19">
        <f>+SUM(START:END!I278)</f>
        <v>0</v>
      </c>
      <c r="J278" s="26"/>
      <c r="K278" s="7"/>
      <c r="L278" s="39">
        <f>+SUM(START:END!L278)</f>
        <v>0</v>
      </c>
      <c r="M278" s="26"/>
      <c r="N278" s="39" t="e">
        <f t="shared" si="100"/>
        <v>#N/A</v>
      </c>
      <c r="O278" s="26"/>
      <c r="P278" s="7"/>
      <c r="Q278" s="39">
        <f>+SUM(START:END!Q278)</f>
        <v>0</v>
      </c>
      <c r="R278" s="26"/>
      <c r="S278" s="39">
        <f>L278-Q278</f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260" t="str">
        <f t="shared" si="99"/>
        <v>ServiceSalaires en absences</v>
      </c>
      <c r="B279" s="7" t="s">
        <v>78</v>
      </c>
      <c r="C279" s="272" t="s">
        <v>44</v>
      </c>
      <c r="D279" s="54"/>
      <c r="E279" s="7"/>
      <c r="F279" s="19" t="e">
        <f>+SUM(START:END!F279)</f>
        <v>#N/A</v>
      </c>
      <c r="G279" s="56"/>
      <c r="H279" s="7"/>
      <c r="I279" s="19">
        <f>+SUM(START:END!I279)</f>
        <v>0</v>
      </c>
      <c r="J279" s="26"/>
      <c r="K279" s="7"/>
      <c r="L279" s="39">
        <f>+SUM(START:END!L279)</f>
        <v>36327.910000000003</v>
      </c>
      <c r="M279" s="26"/>
      <c r="N279" s="39" t="e">
        <f t="shared" si="100"/>
        <v>#N/A</v>
      </c>
      <c r="O279" s="26"/>
      <c r="P279" s="7"/>
      <c r="Q279" s="39">
        <f>+SUM(START:END!Q279)</f>
        <v>46529.25</v>
      </c>
      <c r="R279" s="26"/>
      <c r="S279" s="39">
        <f>L279-Q279</f>
        <v>-10201.339999999997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tr">
        <f t="shared" si="99"/>
        <v>ServiceDéduction à la source</v>
      </c>
      <c r="B280" s="7" t="s">
        <v>78</v>
      </c>
      <c r="C280" s="271" t="s">
        <v>45</v>
      </c>
      <c r="D280" s="68"/>
      <c r="E280" s="69"/>
      <c r="F280" s="36" t="e">
        <f>+SUM(START:END!F280)</f>
        <v>#N/A</v>
      </c>
      <c r="G280" s="70"/>
      <c r="H280" s="69"/>
      <c r="I280" s="36">
        <f>+SUM(START:END!I280)</f>
        <v>0</v>
      </c>
      <c r="J280" s="71"/>
      <c r="K280" s="69"/>
      <c r="L280" s="72">
        <f>+SUM(START:END!L280)</f>
        <v>46035.97</v>
      </c>
      <c r="M280" s="71"/>
      <c r="N280" s="72" t="e">
        <f t="shared" si="100"/>
        <v>#N/A</v>
      </c>
      <c r="O280" s="71"/>
      <c r="P280" s="69"/>
      <c r="Q280" s="72">
        <f>+SUM(START:END!Q280)</f>
        <v>42704.55</v>
      </c>
      <c r="R280" s="71"/>
      <c r="S280" s="72">
        <f t="shared" ref="S280:S290" si="102">L280-Q280</f>
        <v>3331.4199999999983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tr">
        <f t="shared" si="99"/>
        <v>ServiceBénéfices marginaux</v>
      </c>
      <c r="B281" s="7" t="s">
        <v>78</v>
      </c>
      <c r="C281" s="271" t="s">
        <v>46</v>
      </c>
      <c r="D281" s="54"/>
      <c r="E281" s="7"/>
      <c r="F281" s="19" t="e">
        <f>+SUM(START:END!F281)</f>
        <v>#N/A</v>
      </c>
      <c r="G281" s="56"/>
      <c r="H281" s="7"/>
      <c r="I281" s="19">
        <f>+SUM(START:END!I281)</f>
        <v>0</v>
      </c>
      <c r="J281" s="26"/>
      <c r="K281" s="7"/>
      <c r="L281" s="39">
        <f>+SUM(START:END!L281)</f>
        <v>12117.350000000006</v>
      </c>
      <c r="M281" s="26"/>
      <c r="N281" s="39" t="e">
        <f t="shared" si="100"/>
        <v>#N/A</v>
      </c>
      <c r="O281" s="26"/>
      <c r="P281" s="7"/>
      <c r="Q281" s="39">
        <f>+SUM(START:END!Q281)</f>
        <v>29086.100000000006</v>
      </c>
      <c r="R281" s="26"/>
      <c r="S281" s="39">
        <f t="shared" si="102"/>
        <v>-16968.75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tr">
        <f t="shared" si="99"/>
        <v>ServiceCsst</v>
      </c>
      <c r="B282" s="7" t="s">
        <v>78</v>
      </c>
      <c r="C282" s="271" t="s">
        <v>47</v>
      </c>
      <c r="D282" s="54"/>
      <c r="E282" s="7"/>
      <c r="F282" s="19" t="e">
        <f>+SUM(START:END!F282)</f>
        <v>#N/A</v>
      </c>
      <c r="G282" s="56"/>
      <c r="H282" s="7"/>
      <c r="I282" s="19">
        <f>+SUM(START:END!I282)</f>
        <v>0</v>
      </c>
      <c r="J282" s="26"/>
      <c r="K282" s="7"/>
      <c r="L282" s="39">
        <f>+SUM(START:END!L282)</f>
        <v>13075.330000000002</v>
      </c>
      <c r="M282" s="26"/>
      <c r="N282" s="39" t="e">
        <f t="shared" si="100"/>
        <v>#N/A</v>
      </c>
      <c r="O282" s="26"/>
      <c r="P282" s="7"/>
      <c r="Q282" s="39">
        <f>+SUM(START:END!Q282)</f>
        <v>2652.6399999999994</v>
      </c>
      <c r="R282" s="26"/>
      <c r="S282" s="39">
        <f t="shared" si="102"/>
        <v>10422.690000000002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260" t="str">
        <f t="shared" si="99"/>
        <v>Service[...]</v>
      </c>
      <c r="B283" s="7" t="s">
        <v>78</v>
      </c>
      <c r="C283" s="26" t="s">
        <v>19</v>
      </c>
      <c r="D283" s="57"/>
      <c r="E283" s="73"/>
      <c r="F283" s="19" t="e">
        <f>+SUM(START:END!F283)</f>
        <v>#N/A</v>
      </c>
      <c r="G283" s="59"/>
      <c r="H283" s="73"/>
      <c r="I283" s="19">
        <f>+SUM(START:END!I283)</f>
        <v>0</v>
      </c>
      <c r="J283" s="14"/>
      <c r="K283" s="73"/>
      <c r="L283" s="39">
        <f>+SUM(START:END!L283)</f>
        <v>0</v>
      </c>
      <c r="M283" s="14"/>
      <c r="N283" s="21" t="e">
        <f t="shared" si="100"/>
        <v>#N/A</v>
      </c>
      <c r="O283" s="14"/>
      <c r="P283" s="73"/>
      <c r="Q283" s="39">
        <f>+SUM(START:END!Q283)</f>
        <v>0</v>
      </c>
      <c r="R283" s="14"/>
      <c r="S283" s="61">
        <f t="shared" si="102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tr">
        <f t="shared" si="99"/>
        <v>ServiceTOTAL PERSONNEL</v>
      </c>
      <c r="B284" s="7" t="s">
        <v>78</v>
      </c>
      <c r="C284" s="139" t="s">
        <v>48</v>
      </c>
      <c r="D284" s="62" t="s">
        <v>92</v>
      </c>
      <c r="E284" s="63" t="e">
        <f>F284/F$194</f>
        <v>#N/A</v>
      </c>
      <c r="F284" s="64" t="e">
        <f>+SUM(F272:F283)</f>
        <v>#N/A</v>
      </c>
      <c r="G284" s="65" t="s">
        <v>92</v>
      </c>
      <c r="H284" s="63" t="e">
        <f>I284/I$194</f>
        <v>#DIV/0!</v>
      </c>
      <c r="I284" s="64">
        <f>+SUM(I272:I283)</f>
        <v>0</v>
      </c>
      <c r="J284" s="65" t="s">
        <v>92</v>
      </c>
      <c r="K284" s="63" t="e">
        <f>L284/L$194</f>
        <v>#DIV/0!</v>
      </c>
      <c r="L284" s="64">
        <f>+SUM(L272:L283)</f>
        <v>246276.15999999997</v>
      </c>
      <c r="M284" s="66"/>
      <c r="N284" s="64" t="e">
        <f t="shared" si="100"/>
        <v>#N/A</v>
      </c>
      <c r="O284" s="65" t="s">
        <v>92</v>
      </c>
      <c r="P284" s="63" t="e">
        <f>Q284/Q$194</f>
        <v>#DIV/0!</v>
      </c>
      <c r="Q284" s="64">
        <f>+SUM(Q272:Q283)</f>
        <v>310980.15000000002</v>
      </c>
      <c r="R284" s="67"/>
      <c r="S284" s="64">
        <f t="shared" si="102"/>
        <v>-64703.990000000049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tr">
        <f t="shared" si="99"/>
        <v>ServicePublicité 2</v>
      </c>
      <c r="B285" s="7" t="s">
        <v>78</v>
      </c>
      <c r="C285" s="26" t="s">
        <v>49</v>
      </c>
      <c r="D285" s="54"/>
      <c r="E285" s="7"/>
      <c r="F285" s="19" t="e">
        <f>+SUM(START:END!F285)</f>
        <v>#N/A</v>
      </c>
      <c r="G285" s="56"/>
      <c r="H285" s="7"/>
      <c r="I285" s="19">
        <f>+SUM(START:END!I285)</f>
        <v>0</v>
      </c>
      <c r="J285" s="26"/>
      <c r="K285" s="7"/>
      <c r="L285" s="39">
        <f>+SUM(START:END!L285)</f>
        <v>5798.2099999999991</v>
      </c>
      <c r="M285" s="26"/>
      <c r="N285" s="39" t="e">
        <f t="shared" si="100"/>
        <v>#N/A</v>
      </c>
      <c r="O285" s="26"/>
      <c r="P285" s="7"/>
      <c r="Q285" s="39">
        <f>+SUM(START:END!Q285)</f>
        <v>4960.5300000000007</v>
      </c>
      <c r="R285" s="26"/>
      <c r="S285" s="39">
        <f t="shared" si="102"/>
        <v>837.67999999999847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tr">
        <f t="shared" si="99"/>
        <v>ServiceService gratuit 2</v>
      </c>
      <c r="B286" s="7" t="s">
        <v>78</v>
      </c>
      <c r="C286" s="26" t="s">
        <v>50</v>
      </c>
      <c r="D286" s="54"/>
      <c r="E286" s="7"/>
      <c r="F286" s="19" t="e">
        <f>+SUM(START:END!F286)</f>
        <v>#N/A</v>
      </c>
      <c r="G286" s="56"/>
      <c r="H286" s="7"/>
      <c r="I286" s="19">
        <f>+SUM(START:END!I286)</f>
        <v>0</v>
      </c>
      <c r="J286" s="26"/>
      <c r="K286" s="7"/>
      <c r="L286" s="39">
        <f>+SUM(START:END!L286)</f>
        <v>11473.05</v>
      </c>
      <c r="M286" s="26"/>
      <c r="N286" s="39" t="e">
        <f t="shared" si="100"/>
        <v>#N/A</v>
      </c>
      <c r="O286" s="26"/>
      <c r="P286" s="7"/>
      <c r="Q286" s="39">
        <f>+SUM(START:END!Q286)</f>
        <v>6437.9700000000012</v>
      </c>
      <c r="R286" s="26"/>
      <c r="S286" s="39">
        <f t="shared" si="102"/>
        <v>5035.0799999999981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tr">
        <f t="shared" si="99"/>
        <v>ServiceFrais véhicules de cie</v>
      </c>
      <c r="B287" s="7" t="s">
        <v>78</v>
      </c>
      <c r="C287" s="14" t="s">
        <v>51</v>
      </c>
      <c r="D287" s="57"/>
      <c r="E287" s="73"/>
      <c r="F287" s="31" t="e">
        <f>+SUM(START:END!F287)</f>
        <v>#N/A</v>
      </c>
      <c r="G287" s="59"/>
      <c r="H287" s="73"/>
      <c r="I287" s="31">
        <f>+SUM(START:END!I287)</f>
        <v>0</v>
      </c>
      <c r="J287" s="14"/>
      <c r="K287" s="73"/>
      <c r="L287" s="39">
        <f>+SUM(START:END!L287)</f>
        <v>27387.300000000003</v>
      </c>
      <c r="M287" s="14"/>
      <c r="N287" s="61" t="e">
        <f t="shared" si="100"/>
        <v>#N/A</v>
      </c>
      <c r="O287" s="14"/>
      <c r="P287" s="73"/>
      <c r="Q287" s="39">
        <f>+SUM(START:END!Q287)</f>
        <v>-2541.4500000000044</v>
      </c>
      <c r="R287" s="14"/>
      <c r="S287" s="61">
        <f t="shared" si="102"/>
        <v>29928.750000000007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tr">
        <f t="shared" si="99"/>
        <v>ServiceInformatique</v>
      </c>
      <c r="B288" s="7" t="s">
        <v>78</v>
      </c>
      <c r="C288" s="26" t="s">
        <v>52</v>
      </c>
      <c r="D288" s="54"/>
      <c r="E288" s="7"/>
      <c r="F288" s="19" t="e">
        <f>+SUM(START:END!F288)</f>
        <v>#N/A</v>
      </c>
      <c r="G288" s="56"/>
      <c r="H288" s="7"/>
      <c r="I288" s="19">
        <f>+SUM(START:END!I288)</f>
        <v>0</v>
      </c>
      <c r="J288" s="26"/>
      <c r="K288" s="7"/>
      <c r="L288" s="72">
        <f>+SUM(START:END!L288)</f>
        <v>10734.580000000002</v>
      </c>
      <c r="M288" s="26"/>
      <c r="N288" s="39" t="e">
        <f t="shared" si="100"/>
        <v>#N/A</v>
      </c>
      <c r="O288" s="26"/>
      <c r="P288" s="7"/>
      <c r="Q288" s="72">
        <f>+SUM(START:END!Q288)</f>
        <v>8984.3199999999979</v>
      </c>
      <c r="R288" s="26"/>
      <c r="S288" s="39">
        <f t="shared" si="102"/>
        <v>1750.2600000000039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tr">
        <f t="shared" si="99"/>
        <v>ServiceFrais de déplacement</v>
      </c>
      <c r="B289" s="7" t="s">
        <v>78</v>
      </c>
      <c r="C289" s="26" t="s">
        <v>53</v>
      </c>
      <c r="D289" s="54"/>
      <c r="E289" s="7"/>
      <c r="F289" s="19" t="e">
        <f>+SUM(START:END!F289)</f>
        <v>#N/A</v>
      </c>
      <c r="G289" s="56"/>
      <c r="H289" s="7"/>
      <c r="I289" s="19">
        <f>+SUM(START:END!I289)</f>
        <v>0</v>
      </c>
      <c r="J289" s="26"/>
      <c r="K289" s="7"/>
      <c r="L289" s="39">
        <f>+SUM(START:END!L289)</f>
        <v>750.22000000000116</v>
      </c>
      <c r="M289" s="26"/>
      <c r="N289" s="39" t="e">
        <f t="shared" si="100"/>
        <v>#N/A</v>
      </c>
      <c r="O289" s="26"/>
      <c r="P289" s="7"/>
      <c r="Q289" s="39">
        <f>+SUM(START:END!Q289)</f>
        <v>11802.67</v>
      </c>
      <c r="R289" s="26"/>
      <c r="S289" s="39">
        <f t="shared" si="102"/>
        <v>-11052.449999999999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tr">
        <f t="shared" si="99"/>
        <v>ServiceServices extérieurs</v>
      </c>
      <c r="B290" s="7" t="s">
        <v>78</v>
      </c>
      <c r="C290" s="14" t="s">
        <v>54</v>
      </c>
      <c r="D290" s="57"/>
      <c r="E290" s="73"/>
      <c r="F290" s="31" t="e">
        <f>+SUM(START:END!F290)</f>
        <v>#N/A</v>
      </c>
      <c r="G290" s="59"/>
      <c r="H290" s="73"/>
      <c r="I290" s="31">
        <f>+SUM(START:END!I290)</f>
        <v>0</v>
      </c>
      <c r="J290" s="14"/>
      <c r="K290" s="73"/>
      <c r="L290" s="39">
        <f>+SUM(START:END!L290)</f>
        <v>31506.329999999998</v>
      </c>
      <c r="M290" s="14"/>
      <c r="N290" s="61" t="e">
        <f t="shared" si="100"/>
        <v>#N/A</v>
      </c>
      <c r="O290" s="14"/>
      <c r="P290" s="73"/>
      <c r="Q290" s="39">
        <f>+SUM(START:END!Q290)</f>
        <v>37577.039999999994</v>
      </c>
      <c r="R290" s="14"/>
      <c r="S290" s="61">
        <f t="shared" si="102"/>
        <v>-6070.7099999999955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tr">
        <f t="shared" si="99"/>
        <v>ServiceFournitures d'atelier</v>
      </c>
      <c r="B291" s="7" t="s">
        <v>78</v>
      </c>
      <c r="C291" s="26" t="s">
        <v>93</v>
      </c>
      <c r="D291" s="54"/>
      <c r="E291" s="7"/>
      <c r="F291" s="19">
        <f>+SUM(START:END!F291)</f>
        <v>0</v>
      </c>
      <c r="G291" s="56"/>
      <c r="H291" s="7"/>
      <c r="I291" s="19">
        <f>+SUM(START:END!I291)</f>
        <v>0</v>
      </c>
      <c r="J291" s="26"/>
      <c r="K291" s="7"/>
      <c r="L291" s="72">
        <f>+SUM(START:END!L291)</f>
        <v>0</v>
      </c>
      <c r="M291" s="26"/>
      <c r="N291" s="39">
        <f t="shared" si="100"/>
        <v>0</v>
      </c>
      <c r="O291" s="26"/>
      <c r="P291" s="7"/>
      <c r="Q291" s="72">
        <f>+SUM(START:END!Q291)</f>
        <v>0</v>
      </c>
      <c r="R291" s="26"/>
      <c r="S291" s="39">
        <f>L291-Q291</f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tr">
        <f t="shared" si="99"/>
        <v>ServiceFournitures autres</v>
      </c>
      <c r="B292" s="7" t="s">
        <v>78</v>
      </c>
      <c r="C292" s="26" t="s">
        <v>55</v>
      </c>
      <c r="D292" s="54"/>
      <c r="E292" s="7"/>
      <c r="F292" s="19" t="e">
        <f>+SUM(START:END!F292)</f>
        <v>#N/A</v>
      </c>
      <c r="G292" s="56"/>
      <c r="H292" s="7"/>
      <c r="I292" s="19">
        <f>+SUM(START:END!I292)</f>
        <v>0</v>
      </c>
      <c r="J292" s="26"/>
      <c r="K292" s="7"/>
      <c r="L292" s="39">
        <f>+SUM(START:END!L292)</f>
        <v>12536.100000000006</v>
      </c>
      <c r="M292" s="26"/>
      <c r="N292" s="39" t="e">
        <f t="shared" si="100"/>
        <v>#N/A</v>
      </c>
      <c r="O292" s="26"/>
      <c r="P292" s="7"/>
      <c r="Q292" s="39">
        <f>+SUM(START:END!Q292)</f>
        <v>12031.969999999998</v>
      </c>
      <c r="R292" s="26"/>
      <c r="S292" s="39">
        <f t="shared" ref="S292:S300" si="103">L292-Q292</f>
        <v>504.13000000000829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tr">
        <f t="shared" si="99"/>
        <v>ServiceUniformes</v>
      </c>
      <c r="B293" s="7" t="s">
        <v>78</v>
      </c>
      <c r="C293" s="26" t="s">
        <v>56</v>
      </c>
      <c r="D293" s="54"/>
      <c r="E293" s="7"/>
      <c r="F293" s="19" t="e">
        <f>+SUM(START:END!F293)</f>
        <v>#N/A</v>
      </c>
      <c r="G293" s="56"/>
      <c r="H293" s="7"/>
      <c r="I293" s="19">
        <f>+SUM(START:END!I293)</f>
        <v>0</v>
      </c>
      <c r="J293" s="26"/>
      <c r="K293" s="7"/>
      <c r="L293" s="39">
        <f>+SUM(START:END!L293)</f>
        <v>3040.34</v>
      </c>
      <c r="M293" s="26"/>
      <c r="N293" s="39" t="e">
        <f t="shared" si="100"/>
        <v>#N/A</v>
      </c>
      <c r="O293" s="26"/>
      <c r="P293" s="7"/>
      <c r="Q293" s="39">
        <f>+SUM(START:END!Q293)</f>
        <v>0</v>
      </c>
      <c r="R293" s="26"/>
      <c r="S293" s="39">
        <f t="shared" si="103"/>
        <v>3040.34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tr">
        <f t="shared" si="99"/>
        <v>ServicePapeterie</v>
      </c>
      <c r="B294" s="7" t="s">
        <v>78</v>
      </c>
      <c r="C294" s="26" t="s">
        <v>57</v>
      </c>
      <c r="D294" s="54"/>
      <c r="E294" s="7"/>
      <c r="F294" s="19" t="e">
        <f>+SUM(START:END!F294)</f>
        <v>#N/A</v>
      </c>
      <c r="G294" s="56"/>
      <c r="H294" s="7"/>
      <c r="I294" s="19">
        <f>+SUM(START:END!I294)</f>
        <v>0</v>
      </c>
      <c r="J294" s="26"/>
      <c r="K294" s="7"/>
      <c r="L294" s="39">
        <f>+SUM(START:END!L294)</f>
        <v>2353.2199999999993</v>
      </c>
      <c r="M294" s="26"/>
      <c r="N294" s="39" t="e">
        <f t="shared" si="100"/>
        <v>#N/A</v>
      </c>
      <c r="O294" s="26"/>
      <c r="P294" s="55"/>
      <c r="Q294" s="39">
        <f>+SUM(START:END!Q294)</f>
        <v>3877.9499999999989</v>
      </c>
      <c r="R294" s="26"/>
      <c r="S294" s="39">
        <f t="shared" si="103"/>
        <v>-1524.7299999999996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tr">
        <f t="shared" si="99"/>
        <v>ServiceTéléphone</v>
      </c>
      <c r="B295" s="7" t="s">
        <v>78</v>
      </c>
      <c r="C295" s="26" t="s">
        <v>58</v>
      </c>
      <c r="D295" s="54"/>
      <c r="E295" s="7"/>
      <c r="F295" s="19" t="e">
        <f>+SUM(START:END!F295)</f>
        <v>#N/A</v>
      </c>
      <c r="G295" s="56"/>
      <c r="H295" s="7"/>
      <c r="I295" s="19">
        <f>+SUM(START:END!I295)</f>
        <v>0</v>
      </c>
      <c r="J295" s="26"/>
      <c r="K295" s="7"/>
      <c r="L295" s="39">
        <f>+SUM(START:END!L295)</f>
        <v>2230.59</v>
      </c>
      <c r="M295" s="26"/>
      <c r="N295" s="39" t="e">
        <f t="shared" si="100"/>
        <v>#N/A</v>
      </c>
      <c r="O295" s="26"/>
      <c r="P295" s="7"/>
      <c r="Q295" s="39">
        <f>+SUM(START:END!Q295)</f>
        <v>2321.5200000000004</v>
      </c>
      <c r="R295" s="26"/>
      <c r="S295" s="39">
        <f t="shared" si="103"/>
        <v>-90.930000000000291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tr">
        <f t="shared" si="99"/>
        <v>ServiceFrais postaux</v>
      </c>
      <c r="B296" s="7" t="s">
        <v>78</v>
      </c>
      <c r="C296" s="26" t="s">
        <v>59</v>
      </c>
      <c r="D296" s="54"/>
      <c r="E296" s="7"/>
      <c r="F296" s="19" t="e">
        <f>+SUM(START:END!F296)</f>
        <v>#N/A</v>
      </c>
      <c r="G296" s="56"/>
      <c r="H296" s="7"/>
      <c r="I296" s="19">
        <f>+SUM(START:END!I296)</f>
        <v>0</v>
      </c>
      <c r="J296" s="26"/>
      <c r="K296" s="7"/>
      <c r="L296" s="39">
        <f>+SUM(START:END!L296)</f>
        <v>1701.4699999999993</v>
      </c>
      <c r="M296" s="26"/>
      <c r="N296" s="39" t="e">
        <f t="shared" si="100"/>
        <v>#N/A</v>
      </c>
      <c r="O296" s="26"/>
      <c r="P296" s="7"/>
      <c r="Q296" s="39">
        <f>+SUM(START:END!Q296)</f>
        <v>2800.86</v>
      </c>
      <c r="R296" s="26"/>
      <c r="S296" s="39">
        <f t="shared" si="103"/>
        <v>-1099.3900000000008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tr">
        <f t="shared" si="99"/>
        <v>ServiceDivers</v>
      </c>
      <c r="B297" s="7" t="s">
        <v>78</v>
      </c>
      <c r="C297" s="26" t="s">
        <v>60</v>
      </c>
      <c r="D297" s="54"/>
      <c r="E297" s="7"/>
      <c r="F297" s="19" t="e">
        <f>+SUM(START:END!F297)</f>
        <v>#N/A</v>
      </c>
      <c r="G297" s="56"/>
      <c r="H297" s="7"/>
      <c r="I297" s="19">
        <f>+SUM(START:END!I297)</f>
        <v>0</v>
      </c>
      <c r="J297" s="26"/>
      <c r="K297" s="7"/>
      <c r="L297" s="39">
        <f>+SUM(START:END!L297)</f>
        <v>3825.2999999999997</v>
      </c>
      <c r="M297" s="26"/>
      <c r="N297" s="39" t="e">
        <f t="shared" si="100"/>
        <v>#N/A</v>
      </c>
      <c r="O297" s="26"/>
      <c r="P297" s="7"/>
      <c r="Q297" s="39">
        <f>+SUM(START:END!Q297)</f>
        <v>7279.0499999999993</v>
      </c>
      <c r="R297" s="26"/>
      <c r="S297" s="39">
        <f t="shared" si="103"/>
        <v>-3453.7499999999995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tr">
        <f t="shared" si="99"/>
        <v>ServiceFormation</v>
      </c>
      <c r="B298" s="7" t="s">
        <v>78</v>
      </c>
      <c r="C298" s="26" t="s">
        <v>61</v>
      </c>
      <c r="D298" s="54"/>
      <c r="E298" s="7"/>
      <c r="F298" s="19" t="e">
        <f>+SUM(START:END!F298)</f>
        <v>#N/A</v>
      </c>
      <c r="G298" s="56"/>
      <c r="H298" s="7"/>
      <c r="I298" s="19">
        <f>+SUM(START:END!I298)</f>
        <v>0</v>
      </c>
      <c r="J298" s="26"/>
      <c r="K298" s="7"/>
      <c r="L298" s="39">
        <f>+SUM(START:END!L298)</f>
        <v>6072.67</v>
      </c>
      <c r="M298" s="26"/>
      <c r="N298" s="39" t="e">
        <f t="shared" si="100"/>
        <v>#N/A</v>
      </c>
      <c r="O298" s="26"/>
      <c r="P298" s="7"/>
      <c r="Q298" s="39">
        <f>+SUM(START:END!Q298)</f>
        <v>6897.9500000000025</v>
      </c>
      <c r="R298" s="26"/>
      <c r="S298" s="39">
        <f t="shared" si="103"/>
        <v>-825.28000000000247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tr">
        <f t="shared" si="99"/>
        <v>ServiceFrais bancaires</v>
      </c>
      <c r="B299" s="7" t="s">
        <v>78</v>
      </c>
      <c r="C299" s="26" t="s">
        <v>62</v>
      </c>
      <c r="D299" s="54"/>
      <c r="E299" s="7"/>
      <c r="F299" s="19" t="e">
        <f>+SUM(START:END!F299)</f>
        <v>#N/A</v>
      </c>
      <c r="G299" s="56"/>
      <c r="H299" s="7"/>
      <c r="I299" s="19">
        <f>+SUM(START:END!I299)</f>
        <v>0</v>
      </c>
      <c r="J299" s="26"/>
      <c r="K299" s="7"/>
      <c r="L299" s="39">
        <f>+SUM(START:END!L299)</f>
        <v>5265.3799999999992</v>
      </c>
      <c r="M299" s="26"/>
      <c r="N299" s="39" t="e">
        <f t="shared" si="100"/>
        <v>#N/A</v>
      </c>
      <c r="O299" s="26"/>
      <c r="P299" s="7"/>
      <c r="Q299" s="39">
        <f>+SUM(START:END!Q299)</f>
        <v>1051.5899999999997</v>
      </c>
      <c r="R299" s="26"/>
      <c r="S299" s="39">
        <f t="shared" si="103"/>
        <v>4213.7899999999991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260" t="str">
        <f t="shared" si="99"/>
        <v>Service[...]</v>
      </c>
      <c r="B300" s="7" t="s">
        <v>78</v>
      </c>
      <c r="C300" s="26" t="s">
        <v>19</v>
      </c>
      <c r="D300" s="54"/>
      <c r="E300" s="7"/>
      <c r="F300" s="19" t="e">
        <f>+SUM(START:END!F300)</f>
        <v>#N/A</v>
      </c>
      <c r="G300" s="56"/>
      <c r="H300" s="7"/>
      <c r="I300" s="19">
        <f>+SUM(START:END!I300)</f>
        <v>0</v>
      </c>
      <c r="J300" s="26"/>
      <c r="K300" s="7"/>
      <c r="L300" s="39">
        <f>+SUM(START:END!L300)</f>
        <v>0</v>
      </c>
      <c r="M300" s="26"/>
      <c r="N300" s="39" t="e">
        <f t="shared" si="100"/>
        <v>#N/A</v>
      </c>
      <c r="O300" s="26"/>
      <c r="P300" s="7"/>
      <c r="Q300" s="39">
        <f>+SUM(START:END!Q300)</f>
        <v>0</v>
      </c>
      <c r="R300" s="26"/>
      <c r="S300" s="39">
        <f t="shared" si="103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260"/>
      <c r="B301" s="7" t="s">
        <v>78</v>
      </c>
      <c r="C301" s="26" t="s">
        <v>19</v>
      </c>
      <c r="D301" s="54"/>
      <c r="E301" s="7"/>
      <c r="F301" s="19" t="e">
        <f>+SUM(START:END!F301)</f>
        <v>#N/A</v>
      </c>
      <c r="G301" s="56"/>
      <c r="H301" s="7"/>
      <c r="I301" s="19">
        <f>+SUM(START:END!I301)</f>
        <v>0</v>
      </c>
      <c r="J301" s="26"/>
      <c r="K301" s="7"/>
      <c r="L301" s="39">
        <f>+SUM(START:END!L301)</f>
        <v>0</v>
      </c>
      <c r="M301" s="26"/>
      <c r="N301" s="39" t="e">
        <f t="shared" si="100"/>
        <v>#N/A</v>
      </c>
      <c r="O301" s="26"/>
      <c r="P301" s="7"/>
      <c r="Q301" s="39">
        <f>+SUM(START:END!Q301)</f>
        <v>0</v>
      </c>
      <c r="R301" s="26"/>
      <c r="S301" s="39">
        <f>L301-Q301</f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260" t="str">
        <f t="shared" ref="A302" si="104">+B302&amp;C302</f>
        <v>Service[...]</v>
      </c>
      <c r="B302" s="7" t="s">
        <v>78</v>
      </c>
      <c r="C302" s="26" t="s">
        <v>19</v>
      </c>
      <c r="D302" s="54"/>
      <c r="E302" s="7"/>
      <c r="F302" s="19" t="e">
        <f>+SUM(START:END!F302)</f>
        <v>#N/A</v>
      </c>
      <c r="G302" s="56"/>
      <c r="H302" s="7"/>
      <c r="I302" s="19">
        <f>+SUM(START:END!I302)</f>
        <v>0</v>
      </c>
      <c r="J302" s="26"/>
      <c r="K302" s="7"/>
      <c r="L302" s="39">
        <f>+SUM(START:END!L302)</f>
        <v>0</v>
      </c>
      <c r="M302" s="26"/>
      <c r="N302" s="39" t="e">
        <f t="shared" si="100"/>
        <v>#N/A</v>
      </c>
      <c r="O302" s="26"/>
      <c r="P302" s="7"/>
      <c r="Q302" s="39">
        <f>+SUM(START:END!Q302)</f>
        <v>0</v>
      </c>
      <c r="R302" s="26"/>
      <c r="S302" s="39">
        <f t="shared" ref="S302" si="105">L302-Q302</f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F303/F$194</f>
        <v>#N/A</v>
      </c>
      <c r="F303" s="64" t="e">
        <f>+SUM(F285:F302)</f>
        <v>#N/A</v>
      </c>
      <c r="G303" s="65" t="s">
        <v>92</v>
      </c>
      <c r="H303" s="63" t="e">
        <f>I303/I$194</f>
        <v>#DIV/0!</v>
      </c>
      <c r="I303" s="64">
        <f>+SUM(I285:I302)</f>
        <v>0</v>
      </c>
      <c r="J303" s="65" t="s">
        <v>92</v>
      </c>
      <c r="K303" s="63" t="e">
        <f>L303/L$194</f>
        <v>#DIV/0!</v>
      </c>
      <c r="L303" s="64">
        <f>+SUM(L285:L302)</f>
        <v>124674.76000000001</v>
      </c>
      <c r="M303" s="66"/>
      <c r="N303" s="64" t="e">
        <f t="shared" si="100"/>
        <v>#N/A</v>
      </c>
      <c r="O303" s="65" t="s">
        <v>92</v>
      </c>
      <c r="P303" s="63" t="e">
        <f>Q303/Q$194</f>
        <v>#DIV/0!</v>
      </c>
      <c r="Q303" s="64">
        <f>+SUM(Q285:Q302)</f>
        <v>103481.96999999999</v>
      </c>
      <c r="R303" s="67"/>
      <c r="S303" s="64">
        <f>L303-Q303</f>
        <v>21192.790000000023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F305/F$194</f>
        <v>#N/A</v>
      </c>
      <c r="F305" s="64" t="e">
        <f>F284+F303</f>
        <v>#N/A</v>
      </c>
      <c r="G305" s="65" t="s">
        <v>38</v>
      </c>
      <c r="H305" s="63" t="e">
        <f>I305/I$194</f>
        <v>#DIV/0!</v>
      </c>
      <c r="I305" s="64">
        <f>I284+I303</f>
        <v>0</v>
      </c>
      <c r="J305" s="65" t="s">
        <v>38</v>
      </c>
      <c r="K305" s="63" t="e">
        <f>L305/L$194</f>
        <v>#DIV/0!</v>
      </c>
      <c r="L305" s="64">
        <f>L284+L303</f>
        <v>370950.92</v>
      </c>
      <c r="M305" s="66"/>
      <c r="N305" s="64" t="e">
        <f>L305-F305</f>
        <v>#N/A</v>
      </c>
      <c r="O305" s="65" t="s">
        <v>38</v>
      </c>
      <c r="P305" s="63" t="e">
        <f>Q305/Q$194</f>
        <v>#DIV/0!</v>
      </c>
      <c r="Q305" s="64">
        <f>Q284+Q303</f>
        <v>414462.12</v>
      </c>
      <c r="R305" s="67"/>
      <c r="S305" s="64">
        <f>L305-Q305</f>
        <v>-43511.200000000012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 t="e">
        <f>F268-F305</f>
        <v>#N/A</v>
      </c>
      <c r="G307" s="279"/>
      <c r="H307" s="278"/>
      <c r="I307" s="138">
        <f>I268-I305</f>
        <v>0</v>
      </c>
      <c r="J307" s="279"/>
      <c r="K307" s="278"/>
      <c r="L307" s="138">
        <f>L268-L305</f>
        <v>-27018.090000000026</v>
      </c>
      <c r="M307" s="280"/>
      <c r="N307" s="138" t="e">
        <f>L307-F307</f>
        <v>#N/A</v>
      </c>
      <c r="O307" s="279"/>
      <c r="P307" s="278"/>
      <c r="Q307" s="138">
        <f>Q268-Q305</f>
        <v>17771.239999999991</v>
      </c>
      <c r="R307" s="281"/>
      <c r="S307" s="138">
        <f>L307-Q307</f>
        <v>-44789.330000000016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  Q3 2026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426" t="s">
        <v>5</v>
      </c>
      <c r="E312" s="427"/>
      <c r="F312" s="425"/>
      <c r="G312" s="424" t="s">
        <v>71</v>
      </c>
      <c r="H312" s="427"/>
      <c r="I312" s="425"/>
      <c r="J312" s="424" t="s">
        <v>7</v>
      </c>
      <c r="K312" s="427"/>
      <c r="L312" s="425"/>
      <c r="M312" s="424" t="s">
        <v>210</v>
      </c>
      <c r="N312" s="425"/>
      <c r="O312" s="426" t="s">
        <v>8</v>
      </c>
      <c r="P312" s="427"/>
      <c r="Q312" s="425"/>
      <c r="R312" s="424" t="s">
        <v>211</v>
      </c>
      <c r="S312" s="425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tr">
        <f t="shared" ref="A313:A323" si="106">+B313&amp;C313</f>
        <v>Carrosserie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 t="s">
        <v>39</v>
      </c>
      <c r="H313" s="53" t="s">
        <v>79</v>
      </c>
      <c r="I313" s="84" t="s">
        <v>12</v>
      </c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214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tr">
        <f t="shared" si="106"/>
        <v>Carrosserie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tr">
        <f t="shared" si="106"/>
        <v>CarrosserieM/O Sous-traitement</v>
      </c>
      <c r="B315" s="7" t="s">
        <v>94</v>
      </c>
      <c r="C315" s="26" t="s">
        <v>95</v>
      </c>
      <c r="D315" s="269" t="e">
        <f>+SUM(START:END!D315)</f>
        <v>#N/A</v>
      </c>
      <c r="E315" s="55" t="e">
        <f>+SUM(START:END!E315)</f>
        <v>#N/A</v>
      </c>
      <c r="F315" s="55" t="e">
        <f>+SUM(START:END!F315)</f>
        <v>#N/A</v>
      </c>
      <c r="G315" s="98">
        <f>+SUM(START:END!G315)</f>
        <v>0</v>
      </c>
      <c r="H315" s="55">
        <f>+SUM(START:END!H315)</f>
        <v>0</v>
      </c>
      <c r="I315" s="55">
        <f>+SUM(START:END!I315)</f>
        <v>0</v>
      </c>
      <c r="J315" s="40">
        <f>+SUM(START:END!J315)</f>
        <v>0</v>
      </c>
      <c r="K315" s="55">
        <f>+SUM(START:END!K315)</f>
        <v>339399.82000000007</v>
      </c>
      <c r="L315" s="39">
        <f>+SUM(START:END!L315)</f>
        <v>145792.27000000002</v>
      </c>
      <c r="M315" s="99">
        <f>IFERROR((K315-E315)/E315,0)</f>
        <v>0</v>
      </c>
      <c r="N315" s="39" t="e">
        <f>L315-F315</f>
        <v>#N/A</v>
      </c>
      <c r="O315" s="40">
        <f>+SUM(START:END!O315)</f>
        <v>0</v>
      </c>
      <c r="P315" s="55">
        <f>+SUM(START:END!P315)</f>
        <v>532251.15</v>
      </c>
      <c r="Q315" s="39">
        <f>+SUM(START:END!Q315)</f>
        <v>217184.54999999993</v>
      </c>
      <c r="R315" s="99">
        <f>IF(O315=0,0,J315/O315)</f>
        <v>0</v>
      </c>
      <c r="S315" s="39">
        <f>L315-Q315</f>
        <v>-71392.279999999912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tr">
        <f t="shared" si="106"/>
        <v>Carrosserie% profit / ventes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>
        <f>IFERROR(I315/H315,0)</f>
        <v>0</v>
      </c>
      <c r="J316" s="40"/>
      <c r="K316" s="7"/>
      <c r="L316" s="100">
        <f>IFERROR(L315/K315,0)</f>
        <v>0.42955906694352397</v>
      </c>
      <c r="M316" s="99"/>
      <c r="N316" s="39">
        <f>IFERROR(N315/M315,0)</f>
        <v>0</v>
      </c>
      <c r="O316" s="40"/>
      <c r="P316" s="7"/>
      <c r="Q316" s="100">
        <f>IFERROR(Q315/P315,0)</f>
        <v>0.40804900092747554</v>
      </c>
      <c r="R316" s="40"/>
      <c r="S316" s="100">
        <f>IFERROR(S315/R315,0)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tr">
        <f t="shared" si="106"/>
        <v>Carrosserie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tr">
        <f t="shared" si="106"/>
        <v>CarrosserieM/O Carrosserie</v>
      </c>
      <c r="B318" s="7" t="s">
        <v>94</v>
      </c>
      <c r="C318" s="71" t="s">
        <v>96</v>
      </c>
      <c r="D318" s="105" t="e">
        <f>+SUM(START:END!D318)</f>
        <v>#N/A</v>
      </c>
      <c r="E318" s="55" t="e">
        <f>+SUM(START:END!E318)</f>
        <v>#N/A</v>
      </c>
      <c r="F318" s="55" t="e">
        <f>+SUM(START:END!F318)</f>
        <v>#N/A</v>
      </c>
      <c r="G318" s="131">
        <f>+SUM(START:END!G318)</f>
        <v>0</v>
      </c>
      <c r="H318" s="55">
        <f>+SUM(START:END!H318)</f>
        <v>0</v>
      </c>
      <c r="I318" s="55">
        <f>+SUM(START:END!I318)</f>
        <v>0</v>
      </c>
      <c r="J318" s="106">
        <f>+SUM(START:END!J318)</f>
        <v>0</v>
      </c>
      <c r="K318" s="105">
        <f>+SUM(START:END!K318)</f>
        <v>26767.269999999997</v>
      </c>
      <c r="L318" s="72">
        <f>+SUM(START:END!L318)</f>
        <v>14891.32</v>
      </c>
      <c r="M318" s="109">
        <f>IFERROR((K318-E318)/E318,0)</f>
        <v>0</v>
      </c>
      <c r="N318" s="72" t="e">
        <f>L318-F318</f>
        <v>#N/A</v>
      </c>
      <c r="O318" s="106">
        <f>+SUM(START:END!O318)</f>
        <v>0</v>
      </c>
      <c r="P318" s="105">
        <f>+SUM(START:END!P318)</f>
        <v>22224.46</v>
      </c>
      <c r="Q318" s="72">
        <f>+SUM(START:END!Q318)</f>
        <v>22247.439999999999</v>
      </c>
      <c r="R318" s="99">
        <f>IF(O318=0,0,J318/O318)</f>
        <v>0</v>
      </c>
      <c r="S318" s="39">
        <f>L318-Q318</f>
        <v>-7356.119999999999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tr">
        <f t="shared" si="106"/>
        <v>Carrosserie% profit / ventes</v>
      </c>
      <c r="B319" s="7" t="s">
        <v>94</v>
      </c>
      <c r="C319" s="26" t="s">
        <v>82</v>
      </c>
      <c r="D319" s="7"/>
      <c r="E319" s="91"/>
      <c r="F319" s="100" t="e">
        <f>F318/E318</f>
        <v>#N/A</v>
      </c>
      <c r="G319" s="26"/>
      <c r="H319" s="91"/>
      <c r="I319" s="100" t="e">
        <f>I318/H318</f>
        <v>#DIV/0!</v>
      </c>
      <c r="J319" s="40"/>
      <c r="K319" s="7"/>
      <c r="L319" s="100">
        <f>IFERROR(L318/K318,0)</f>
        <v>0.55632569178702207</v>
      </c>
      <c r="M319" s="99"/>
      <c r="N319" s="39">
        <f>IFERROR(N318/F318,0)</f>
        <v>0</v>
      </c>
      <c r="O319" s="40"/>
      <c r="P319" s="7"/>
      <c r="Q319" s="100">
        <f>IFERROR(Q318/P318,0)</f>
        <v>1.0010339958766152</v>
      </c>
      <c r="R319" s="40"/>
      <c r="S319" s="100">
        <f>IF(Q318=0,0,S318/Q318)</f>
        <v>-0.33065017817780379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tr">
        <f t="shared" si="106"/>
        <v>Carrosserie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tr">
        <f t="shared" si="106"/>
        <v>CarrosserieM/O Esthétique Carr.</v>
      </c>
      <c r="B321" s="7" t="s">
        <v>94</v>
      </c>
      <c r="C321" s="71" t="s">
        <v>97</v>
      </c>
      <c r="D321" s="105">
        <f>+SUM(START:END!D321)</f>
        <v>0</v>
      </c>
      <c r="E321" s="55">
        <f>+SUM(START:END!E321)</f>
        <v>0</v>
      </c>
      <c r="F321" s="55">
        <f>+SUM(START:END!F321)</f>
        <v>0</v>
      </c>
      <c r="G321" s="106">
        <f>+SUM(START:END!G321)</f>
        <v>0</v>
      </c>
      <c r="H321" s="55">
        <f>+SUM(START:END!H321)</f>
        <v>0</v>
      </c>
      <c r="I321" s="55">
        <f>+SUM(START:END!I321)</f>
        <v>0</v>
      </c>
      <c r="J321" s="106">
        <f>+SUM(START:END!J321)</f>
        <v>0</v>
      </c>
      <c r="K321" s="55">
        <f>+SUM(START:END!K321)</f>
        <v>94603.44</v>
      </c>
      <c r="L321" s="39">
        <f>+SUM(START:END!L321)</f>
        <v>53246.709999999992</v>
      </c>
      <c r="M321" s="99">
        <f>IFERROR((K321-E321)/E321,0)</f>
        <v>0</v>
      </c>
      <c r="N321" s="72">
        <f>L321-F321</f>
        <v>53246.709999999992</v>
      </c>
      <c r="O321" s="106">
        <f>+SUM(START:END!O321)</f>
        <v>0</v>
      </c>
      <c r="P321" s="55">
        <f>+SUM(START:END!P321)</f>
        <v>0</v>
      </c>
      <c r="Q321" s="39">
        <f>+SUM(START:END!Q321)</f>
        <v>0</v>
      </c>
      <c r="R321" s="99">
        <f>IF(O321=0,0,J321/O321)</f>
        <v>0</v>
      </c>
      <c r="S321" s="39">
        <f>L321-Q321</f>
        <v>53246.709999999992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tr">
        <f t="shared" si="106"/>
        <v>Carrosserie% profit / ventes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 t="e">
        <f>I321/H321</f>
        <v>#DIV/0!</v>
      </c>
      <c r="J322" s="26"/>
      <c r="K322" s="7"/>
      <c r="L322" s="100">
        <f>IFERROR(L321/K321,0)</f>
        <v>0.56284116095566916</v>
      </c>
      <c r="M322" s="27"/>
      <c r="N322" s="28">
        <f>IF(L321=0,0,N321/L321)</f>
        <v>1</v>
      </c>
      <c r="O322" s="26"/>
      <c r="P322" s="7"/>
      <c r="Q322" s="100">
        <f>IFERROR(Q321/P321,0)</f>
        <v>0</v>
      </c>
      <c r="R322" s="40"/>
      <c r="S322" s="100">
        <f>IF(Q321=0,0,S321/Q321)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 t="str">
        <f t="shared" si="106"/>
        <v>Carrosserie</v>
      </c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6"/>
      <c r="N323" s="327"/>
      <c r="O323" s="248"/>
      <c r="P323" s="249"/>
      <c r="Q323" s="108"/>
      <c r="R323" s="328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388</v>
      </c>
      <c r="D324" s="7"/>
      <c r="E324" s="7"/>
      <c r="F324" s="100">
        <f>+SUM(START:END!F324)</f>
        <v>0</v>
      </c>
      <c r="G324" s="26"/>
      <c r="H324" s="7"/>
      <c r="I324" s="100"/>
      <c r="J324" s="26"/>
      <c r="K324" s="7"/>
      <c r="L324" s="39">
        <f>+SUM(START:END!L324)</f>
        <v>-3222.1800000000021</v>
      </c>
      <c r="M324" s="27"/>
      <c r="N324" s="28"/>
      <c r="O324" s="26"/>
      <c r="P324" s="7"/>
      <c r="Q324" s="39">
        <f>+SUM(START:END!Q324)</f>
        <v>10158.27</v>
      </c>
      <c r="R324" s="99">
        <f>IF(O324=0,0,J324/O324)</f>
        <v>0</v>
      </c>
      <c r="S324" s="39">
        <f>L324-Q324</f>
        <v>-13380.450000000003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389</v>
      </c>
      <c r="B326" s="7" t="s">
        <v>94</v>
      </c>
      <c r="C326" s="264" t="s">
        <v>390</v>
      </c>
      <c r="D326" s="41"/>
      <c r="E326" s="42" t="e">
        <f>E318+E321+E315</f>
        <v>#N/A</v>
      </c>
      <c r="F326" s="43" t="e">
        <f>F318+F321+F315</f>
        <v>#N/A</v>
      </c>
      <c r="G326" s="44"/>
      <c r="H326" s="42"/>
      <c r="I326" s="43"/>
      <c r="J326" s="44"/>
      <c r="K326" s="41">
        <f t="shared" ref="K326" si="107">K318+K321+K315</f>
        <v>460770.53</v>
      </c>
      <c r="L326" s="43">
        <f>L318+L321+L315+L324</f>
        <v>210708.12000000002</v>
      </c>
      <c r="M326" s="44" t="e">
        <f>L327-F327</f>
        <v>#N/A</v>
      </c>
      <c r="N326" s="43" t="e">
        <f>L326-F326</f>
        <v>#N/A</v>
      </c>
      <c r="O326" s="44"/>
      <c r="P326" s="41">
        <f t="shared" ref="P326" si="108">P318+P321+P315</f>
        <v>554475.61</v>
      </c>
      <c r="Q326" s="43">
        <f>Q318+Q321+Q315+Q324</f>
        <v>249590.25999999992</v>
      </c>
      <c r="R326" s="44"/>
      <c r="S326" s="43">
        <f>L326-Q326</f>
        <v>-38882.139999999898</v>
      </c>
      <c r="T326" s="7"/>
      <c r="U326" s="55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#N/A</v>
      </c>
      <c r="G327" s="47"/>
      <c r="H327" s="45"/>
      <c r="I327" s="46"/>
      <c r="J327" s="47"/>
      <c r="K327" s="265"/>
      <c r="L327" s="267"/>
      <c r="M327" s="48"/>
      <c r="N327" s="49" t="e">
        <f>N326/F326</f>
        <v>#N/A</v>
      </c>
      <c r="O327" s="47"/>
      <c r="P327" s="265"/>
      <c r="Q327" s="267"/>
      <c r="R327" s="48"/>
      <c r="S327" s="267">
        <f>S326/Q326</f>
        <v>-0.15578388355378894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tr">
        <f t="shared" ref="A328" si="109">+B328&amp;C328</f>
        <v>Carrosserie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tr">
        <f t="shared" ref="A329" si="110">+B329&amp;C329</f>
        <v>CarrosserieDEPENSES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tr">
        <f t="shared" ref="A330" si="111">+B330&amp;C330</f>
        <v>CarrosserieSalaires cadres</v>
      </c>
      <c r="B330" s="7" t="s">
        <v>94</v>
      </c>
      <c r="C330" s="271" t="s">
        <v>40</v>
      </c>
      <c r="D330" s="7"/>
      <c r="E330" s="7"/>
      <c r="F330" s="19" t="e">
        <f>+SUM(START:END!F330)</f>
        <v>#N/A</v>
      </c>
      <c r="G330" s="26"/>
      <c r="H330" s="7"/>
      <c r="I330" s="19">
        <f>+SUM(START:END!I330)</f>
        <v>0</v>
      </c>
      <c r="J330" s="26"/>
      <c r="K330" s="7"/>
      <c r="L330" s="39">
        <f>+SUM(START:END!L330)</f>
        <v>39663.399999999994</v>
      </c>
      <c r="M330" s="26"/>
      <c r="N330" s="39" t="e">
        <f t="shared" ref="N330:N340" si="112">L330-F330</f>
        <v>#N/A</v>
      </c>
      <c r="O330" s="26"/>
      <c r="P330" s="7"/>
      <c r="Q330" s="39">
        <f>+SUM(START:END!Q330)</f>
        <v>41764.310000000005</v>
      </c>
      <c r="R330" s="26"/>
      <c r="S330" s="39">
        <f t="shared" ref="S330" si="113">L330-Q330</f>
        <v>-2100.9100000000108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tr">
        <f t="shared" ref="A331" si="114">+B331&amp;C331</f>
        <v>CarrosserieSalaires commis</v>
      </c>
      <c r="B331" s="7" t="s">
        <v>94</v>
      </c>
      <c r="C331" s="272" t="s">
        <v>41</v>
      </c>
      <c r="D331" s="54"/>
      <c r="E331" s="7"/>
      <c r="F331" s="31" t="e">
        <f>+SUM(START:END!F331)</f>
        <v>#N/A</v>
      </c>
      <c r="G331" s="56"/>
      <c r="H331" s="7"/>
      <c r="I331" s="31">
        <f>+SUM(START:END!I331)</f>
        <v>0</v>
      </c>
      <c r="J331" s="26"/>
      <c r="K331" s="7"/>
      <c r="L331" s="39">
        <f>+SUM(START:END!L331)</f>
        <v>17527.53</v>
      </c>
      <c r="M331" s="26"/>
      <c r="N331" s="39" t="e">
        <f t="shared" si="112"/>
        <v>#N/A</v>
      </c>
      <c r="O331" s="26"/>
      <c r="P331" s="7"/>
      <c r="Q331" s="39">
        <f>+SUM(START:END!Q331)</f>
        <v>18673.93</v>
      </c>
      <c r="R331" s="26"/>
      <c r="S331" s="39">
        <f>L331-Q331</f>
        <v>-1146.4000000000015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tr">
        <f t="shared" ref="A332" si="115">+B332&amp;C332</f>
        <v>CarrosserieSalaires autres</v>
      </c>
      <c r="B332" s="7" t="s">
        <v>94</v>
      </c>
      <c r="C332" s="271" t="s">
        <v>42</v>
      </c>
      <c r="D332" s="68"/>
      <c r="E332" s="69"/>
      <c r="F332" s="19" t="e">
        <f>+SUM(START:END!F332)</f>
        <v>#N/A</v>
      </c>
      <c r="G332" s="70"/>
      <c r="H332" s="69"/>
      <c r="I332" s="19">
        <f>+SUM(START:END!I332)</f>
        <v>0</v>
      </c>
      <c r="J332" s="71"/>
      <c r="K332" s="69"/>
      <c r="L332" s="72">
        <f>+SUM(START:END!L332)</f>
        <v>4381.92</v>
      </c>
      <c r="M332" s="71"/>
      <c r="N332" s="72" t="e">
        <f t="shared" si="112"/>
        <v>#N/A</v>
      </c>
      <c r="O332" s="71"/>
      <c r="P332" s="69"/>
      <c r="Q332" s="72">
        <f>+SUM(START:END!Q332)</f>
        <v>76</v>
      </c>
      <c r="R332" s="71"/>
      <c r="S332" s="72">
        <f t="shared" ref="S332:S340" si="116">L332-Q332</f>
        <v>4305.92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tr">
        <f t="shared" ref="A333" si="117">+B333&amp;C333</f>
        <v>CarrosserieSalaires spécialistes</v>
      </c>
      <c r="B333" s="7" t="s">
        <v>94</v>
      </c>
      <c r="C333" s="271" t="s">
        <v>43</v>
      </c>
      <c r="D333" s="54"/>
      <c r="E333" s="7"/>
      <c r="F333" s="19" t="e">
        <f>+SUM(START:END!F333)</f>
        <v>#N/A</v>
      </c>
      <c r="G333" s="56"/>
      <c r="H333" s="7"/>
      <c r="I333" s="19">
        <f>+SUM(START:END!I333)</f>
        <v>0</v>
      </c>
      <c r="J333" s="26"/>
      <c r="K333" s="7"/>
      <c r="L333" s="39">
        <f>+SUM(START:END!L333)</f>
        <v>0</v>
      </c>
      <c r="M333" s="26"/>
      <c r="N333" s="39" t="e">
        <f t="shared" si="112"/>
        <v>#N/A</v>
      </c>
      <c r="O333" s="26"/>
      <c r="P333" s="7"/>
      <c r="Q333" s="39">
        <f>+SUM(START:END!Q333)</f>
        <v>0</v>
      </c>
      <c r="R333" s="26"/>
      <c r="S333" s="39">
        <f t="shared" si="116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260" t="str">
        <f t="shared" ref="A334" si="118">+B334&amp;C334</f>
        <v>Carrosserie[...]</v>
      </c>
      <c r="B334" s="7" t="s">
        <v>94</v>
      </c>
      <c r="C334" s="26" t="s">
        <v>19</v>
      </c>
      <c r="D334" s="54"/>
      <c r="E334" s="7"/>
      <c r="F334" s="19" t="e">
        <f>+SUM(START:END!F334)</f>
        <v>#N/A</v>
      </c>
      <c r="G334" s="56"/>
      <c r="H334" s="7"/>
      <c r="I334" s="19">
        <f>+SUM(START:END!I334)</f>
        <v>0</v>
      </c>
      <c r="J334" s="26"/>
      <c r="K334" s="7"/>
      <c r="L334" s="39">
        <f>+SUM(START:END!L334)</f>
        <v>0</v>
      </c>
      <c r="M334" s="26"/>
      <c r="N334" s="39" t="e">
        <f t="shared" si="112"/>
        <v>#N/A</v>
      </c>
      <c r="O334" s="26"/>
      <c r="P334" s="7"/>
      <c r="Q334" s="39">
        <f>+SUM(START:END!Q334)</f>
        <v>0</v>
      </c>
      <c r="R334" s="26"/>
      <c r="S334" s="39">
        <f t="shared" si="116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260" t="str">
        <f t="shared" ref="A335" si="119">+B335&amp;C335</f>
        <v>Carrosserie[...]</v>
      </c>
      <c r="B335" s="7" t="s">
        <v>94</v>
      </c>
      <c r="C335" s="26" t="s">
        <v>19</v>
      </c>
      <c r="D335" s="54"/>
      <c r="E335" s="7"/>
      <c r="F335" s="19" t="e">
        <f>+SUM(START:END!F335)</f>
        <v>#N/A</v>
      </c>
      <c r="G335" s="56"/>
      <c r="H335" s="7"/>
      <c r="I335" s="19">
        <f>+SUM(START:END!I335)</f>
        <v>0</v>
      </c>
      <c r="J335" s="26"/>
      <c r="K335" s="7"/>
      <c r="L335" s="39">
        <f>+SUM(START:END!L335)</f>
        <v>0</v>
      </c>
      <c r="M335" s="26"/>
      <c r="N335" s="39" t="e">
        <f t="shared" si="112"/>
        <v>#N/A</v>
      </c>
      <c r="O335" s="26"/>
      <c r="P335" s="7"/>
      <c r="Q335" s="39">
        <f>+SUM(START:END!Q335)</f>
        <v>0</v>
      </c>
      <c r="R335" s="26"/>
      <c r="S335" s="39">
        <f t="shared" si="116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260" t="str">
        <f t="shared" ref="A336" si="120">+B336&amp;C336</f>
        <v>Carrosserie[...]</v>
      </c>
      <c r="B336" s="7" t="s">
        <v>94</v>
      </c>
      <c r="C336" s="26" t="s">
        <v>19</v>
      </c>
      <c r="D336" s="54"/>
      <c r="E336" s="7"/>
      <c r="F336" s="19" t="e">
        <f>+SUM(START:END!F336)</f>
        <v>#N/A</v>
      </c>
      <c r="G336" s="56"/>
      <c r="H336" s="7"/>
      <c r="I336" s="19">
        <f>+SUM(START:END!I336)</f>
        <v>0</v>
      </c>
      <c r="J336" s="26"/>
      <c r="K336" s="7"/>
      <c r="L336" s="39">
        <f>+SUM(START:END!L336)</f>
        <v>0</v>
      </c>
      <c r="M336" s="26"/>
      <c r="N336" s="39" t="e">
        <f t="shared" si="112"/>
        <v>#N/A</v>
      </c>
      <c r="O336" s="26"/>
      <c r="P336" s="7"/>
      <c r="Q336" s="39">
        <f>+SUM(START:END!Q336)</f>
        <v>0</v>
      </c>
      <c r="R336" s="26"/>
      <c r="S336" s="39">
        <f t="shared" si="116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tr">
        <f t="shared" ref="A337" si="121">+B337&amp;C337</f>
        <v>CarrosserieSalaires en absences</v>
      </c>
      <c r="B337" s="7" t="s">
        <v>94</v>
      </c>
      <c r="C337" s="272" t="s">
        <v>44</v>
      </c>
      <c r="D337" s="54"/>
      <c r="E337" s="7"/>
      <c r="F337" s="31" t="e">
        <f>+SUM(START:END!F337)</f>
        <v>#N/A</v>
      </c>
      <c r="G337" s="56"/>
      <c r="H337" s="7"/>
      <c r="I337" s="31">
        <f>+SUM(START:END!I337)</f>
        <v>0</v>
      </c>
      <c r="J337" s="26"/>
      <c r="K337" s="7"/>
      <c r="L337" s="39">
        <f>+SUM(START:END!L337)</f>
        <v>14487.630000000001</v>
      </c>
      <c r="M337" s="26"/>
      <c r="N337" s="39" t="e">
        <f t="shared" si="112"/>
        <v>#N/A</v>
      </c>
      <c r="O337" s="26"/>
      <c r="P337" s="7"/>
      <c r="Q337" s="39">
        <f>+SUM(START:END!Q337)</f>
        <v>9100.91</v>
      </c>
      <c r="R337" s="26"/>
      <c r="S337" s="39">
        <f t="shared" si="116"/>
        <v>5386.7200000000012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tr">
        <f t="shared" ref="A338" si="122">+B338&amp;C338</f>
        <v>CarrosserieDéduction à la source</v>
      </c>
      <c r="B338" s="7" t="s">
        <v>94</v>
      </c>
      <c r="C338" s="271" t="s">
        <v>45</v>
      </c>
      <c r="D338" s="68"/>
      <c r="E338" s="69"/>
      <c r="F338" s="19" t="e">
        <f>+SUM(START:END!F338)</f>
        <v>#N/A</v>
      </c>
      <c r="G338" s="70"/>
      <c r="H338" s="69"/>
      <c r="I338" s="19">
        <f>+SUM(START:END!I338)</f>
        <v>0</v>
      </c>
      <c r="J338" s="71"/>
      <c r="K338" s="69"/>
      <c r="L338" s="72">
        <f>+SUM(START:END!L338)</f>
        <v>17793.190000000002</v>
      </c>
      <c r="M338" s="71"/>
      <c r="N338" s="72" t="e">
        <f t="shared" si="112"/>
        <v>#N/A</v>
      </c>
      <c r="O338" s="71"/>
      <c r="P338" s="69"/>
      <c r="Q338" s="72">
        <f>+SUM(START:END!Q338)</f>
        <v>13712.380000000005</v>
      </c>
      <c r="R338" s="71"/>
      <c r="S338" s="72">
        <f t="shared" si="116"/>
        <v>4080.8099999999977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tr">
        <f t="shared" ref="A339" si="123">+B339&amp;C339</f>
        <v>CarrosserieBénéfices marginaux</v>
      </c>
      <c r="B339" s="7" t="s">
        <v>94</v>
      </c>
      <c r="C339" s="271" t="s">
        <v>46</v>
      </c>
      <c r="D339" s="54"/>
      <c r="E339" s="7"/>
      <c r="F339" s="19" t="e">
        <f>+SUM(START:END!F339)</f>
        <v>#N/A</v>
      </c>
      <c r="G339" s="56"/>
      <c r="H339" s="7"/>
      <c r="I339" s="19">
        <f>+SUM(START:END!I339)</f>
        <v>0</v>
      </c>
      <c r="J339" s="26"/>
      <c r="K339" s="7"/>
      <c r="L339" s="39">
        <f>+SUM(START:END!L339)</f>
        <v>3128.3099999999995</v>
      </c>
      <c r="M339" s="26"/>
      <c r="N339" s="39" t="e">
        <f t="shared" si="112"/>
        <v>#N/A</v>
      </c>
      <c r="O339" s="26"/>
      <c r="P339" s="7"/>
      <c r="Q339" s="39">
        <f>+SUM(START:END!Q339)</f>
        <v>7740.3799999999992</v>
      </c>
      <c r="R339" s="26"/>
      <c r="S339" s="39">
        <f t="shared" si="116"/>
        <v>-4612.07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tr">
        <f t="shared" ref="A340" si="124">+B340&amp;C340</f>
        <v>CarrosserieCsst</v>
      </c>
      <c r="B340" s="7" t="s">
        <v>94</v>
      </c>
      <c r="C340" s="271" t="s">
        <v>47</v>
      </c>
      <c r="D340" s="54"/>
      <c r="E340" s="7"/>
      <c r="F340" s="19" t="e">
        <f>+SUM(START:END!F340)</f>
        <v>#N/A</v>
      </c>
      <c r="G340" s="56"/>
      <c r="H340" s="7"/>
      <c r="I340" s="19">
        <f>+SUM(START:END!I340)</f>
        <v>0</v>
      </c>
      <c r="J340" s="26"/>
      <c r="K340" s="7"/>
      <c r="L340" s="39">
        <f>+SUM(START:END!L340)</f>
        <v>4675.5300000000007</v>
      </c>
      <c r="M340" s="26"/>
      <c r="N340" s="39" t="e">
        <f t="shared" si="112"/>
        <v>#N/A</v>
      </c>
      <c r="O340" s="26"/>
      <c r="P340" s="7"/>
      <c r="Q340" s="39">
        <f>+SUM(START:END!Q340)</f>
        <v>109.09</v>
      </c>
      <c r="R340" s="26"/>
      <c r="S340" s="39">
        <f t="shared" si="116"/>
        <v>4566.4400000000005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260" t="str">
        <f t="shared" ref="A341" si="125">+B341&amp;C341</f>
        <v>Carrosserie[...]</v>
      </c>
      <c r="B341" s="7" t="s">
        <v>94</v>
      </c>
      <c r="C341" s="26" t="s">
        <v>19</v>
      </c>
      <c r="D341" s="57"/>
      <c r="E341" s="73"/>
      <c r="F341" s="19" t="e">
        <f>+SUM(START:END!F341)</f>
        <v>#N/A</v>
      </c>
      <c r="G341" s="59"/>
      <c r="H341" s="73"/>
      <c r="I341" s="19">
        <f>+SUM(START:END!I341)</f>
        <v>0</v>
      </c>
      <c r="J341" s="14"/>
      <c r="K341" s="73"/>
      <c r="L341" s="39">
        <f>+SUM(START:END!L341)</f>
        <v>0</v>
      </c>
      <c r="M341" s="14"/>
      <c r="N341" s="61" t="e">
        <f>L341-F341</f>
        <v>#N/A</v>
      </c>
      <c r="O341" s="14"/>
      <c r="P341" s="73"/>
      <c r="Q341" s="39">
        <f>+SUM(START:END!Q341)</f>
        <v>0</v>
      </c>
      <c r="R341" s="14"/>
      <c r="S341" s="61">
        <f>L341-Q341</f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tr">
        <f t="shared" ref="A342" si="126">+B342&amp;C342</f>
        <v>CarrosserieTOTAL PERSONNEL</v>
      </c>
      <c r="B342" s="7" t="s">
        <v>94</v>
      </c>
      <c r="C342" s="139" t="s">
        <v>48</v>
      </c>
      <c r="D342" s="62" t="s">
        <v>38</v>
      </c>
      <c r="E342" s="63" t="e">
        <f>F342/F$244</f>
        <v>#N/A</v>
      </c>
      <c r="F342" s="64" t="e">
        <f>+SUM(F330:F341)</f>
        <v>#N/A</v>
      </c>
      <c r="G342" s="65" t="s">
        <v>38</v>
      </c>
      <c r="H342" s="63" t="e">
        <f>I342/I$244</f>
        <v>#DIV/0!</v>
      </c>
      <c r="I342" s="64">
        <f>+SUM(I330:I341)</f>
        <v>0</v>
      </c>
      <c r="J342" s="65" t="s">
        <v>38</v>
      </c>
      <c r="K342" s="63">
        <f>IF(L320=0,0,L342/L$244)</f>
        <v>0</v>
      </c>
      <c r="L342" s="64">
        <f>+SUM(L330:L341)</f>
        <v>101657.51</v>
      </c>
      <c r="M342" s="66"/>
      <c r="N342" s="64" t="e">
        <f>L342-F342</f>
        <v>#N/A</v>
      </c>
      <c r="O342" s="65" t="s">
        <v>38</v>
      </c>
      <c r="P342" s="63">
        <f>IF(Q320=0,0,Q342/Q$244)</f>
        <v>0</v>
      </c>
      <c r="Q342" s="64">
        <f>+SUM(Q330:Q341)</f>
        <v>91177.000000000015</v>
      </c>
      <c r="R342" s="67"/>
      <c r="S342" s="64">
        <f t="shared" ref="S342:S348" si="127">L342-Q342</f>
        <v>10480.50999999998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tr">
        <f t="shared" ref="A343" si="128">+B343&amp;C343</f>
        <v>CarrosseriePublicité 2</v>
      </c>
      <c r="B343" s="7" t="s">
        <v>94</v>
      </c>
      <c r="C343" s="329" t="s">
        <v>49</v>
      </c>
      <c r="D343" s="54"/>
      <c r="E343" s="7"/>
      <c r="F343" s="19" t="e">
        <f>+SUM(START:END!F343)</f>
        <v>#N/A</v>
      </c>
      <c r="G343" s="56"/>
      <c r="H343" s="7"/>
      <c r="I343" s="19">
        <f>+SUM(START:END!I343)</f>
        <v>0</v>
      </c>
      <c r="J343" s="26"/>
      <c r="K343" s="7"/>
      <c r="L343" s="39">
        <f>+SUM(START:END!L343)</f>
        <v>2381.2899999999995</v>
      </c>
      <c r="M343" s="26"/>
      <c r="N343" s="39" t="e">
        <f t="shared" ref="N343:N360" si="129">L343-F343</f>
        <v>#N/A</v>
      </c>
      <c r="O343" s="26"/>
      <c r="P343" s="7"/>
      <c r="Q343" s="39">
        <f>+SUM(START:END!Q343)</f>
        <v>2210.4</v>
      </c>
      <c r="R343" s="26"/>
      <c r="S343" s="39">
        <f t="shared" si="127"/>
        <v>170.88999999999942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tr">
        <f t="shared" ref="A344" si="130">+B344&amp;C344</f>
        <v>CarrosserieService gratuit 2</v>
      </c>
      <c r="B344" s="7" t="s">
        <v>94</v>
      </c>
      <c r="C344" s="271" t="s">
        <v>50</v>
      </c>
      <c r="D344" s="54"/>
      <c r="E344" s="7"/>
      <c r="F344" s="19" t="e">
        <f>+SUM(START:END!F344)</f>
        <v>#N/A</v>
      </c>
      <c r="G344" s="56"/>
      <c r="H344" s="7"/>
      <c r="I344" s="19">
        <f>+SUM(START:END!I344)</f>
        <v>0</v>
      </c>
      <c r="J344" s="26"/>
      <c r="K344" s="7"/>
      <c r="L344" s="39">
        <f>+SUM(START:END!L344)</f>
        <v>6012.2599999999993</v>
      </c>
      <c r="M344" s="26"/>
      <c r="N344" s="39" t="e">
        <f t="shared" si="129"/>
        <v>#N/A</v>
      </c>
      <c r="O344" s="26"/>
      <c r="P344" s="7"/>
      <c r="Q344" s="39">
        <f>+SUM(START:END!Q344)</f>
        <v>3544.6099999999988</v>
      </c>
      <c r="R344" s="26"/>
      <c r="S344" s="39">
        <f t="shared" si="127"/>
        <v>2467.6500000000005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tr">
        <f t="shared" ref="A345" si="131">+B345&amp;C345</f>
        <v>CarrosserieFrais véhicules de cie</v>
      </c>
      <c r="B345" s="7" t="s">
        <v>94</v>
      </c>
      <c r="C345" s="272" t="s">
        <v>51</v>
      </c>
      <c r="D345" s="57"/>
      <c r="E345" s="73"/>
      <c r="F345" s="31" t="e">
        <f>+SUM(START:END!F345)</f>
        <v>#N/A</v>
      </c>
      <c r="G345" s="59"/>
      <c r="H345" s="73"/>
      <c r="I345" s="31">
        <f>+SUM(START:END!I345)</f>
        <v>0</v>
      </c>
      <c r="J345" s="14"/>
      <c r="K345" s="73"/>
      <c r="L345" s="39">
        <f>+SUM(START:END!L345)</f>
        <v>8126.99</v>
      </c>
      <c r="M345" s="14"/>
      <c r="N345" s="61" t="e">
        <f t="shared" si="129"/>
        <v>#N/A</v>
      </c>
      <c r="O345" s="14"/>
      <c r="P345" s="73"/>
      <c r="Q345" s="39">
        <f>+SUM(START:END!Q345)</f>
        <v>-221.70000000000073</v>
      </c>
      <c r="R345" s="14"/>
      <c r="S345" s="61">
        <f t="shared" si="127"/>
        <v>8348.69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tr">
        <f t="shared" ref="A346" si="132">+B346&amp;C346</f>
        <v>CarrosserieInformatique</v>
      </c>
      <c r="B346" s="7" t="s">
        <v>94</v>
      </c>
      <c r="C346" s="271" t="s">
        <v>52</v>
      </c>
      <c r="D346" s="54"/>
      <c r="E346" s="7"/>
      <c r="F346" s="19" t="e">
        <f>+SUM(START:END!F346)</f>
        <v>#N/A</v>
      </c>
      <c r="G346" s="56"/>
      <c r="H346" s="7"/>
      <c r="I346" s="19">
        <f>+SUM(START:END!I346)</f>
        <v>0</v>
      </c>
      <c r="J346" s="26"/>
      <c r="K346" s="7"/>
      <c r="L346" s="72">
        <f>+SUM(START:END!L346)</f>
        <v>7618.57</v>
      </c>
      <c r="M346" s="26"/>
      <c r="N346" s="39" t="e">
        <f t="shared" si="129"/>
        <v>#N/A</v>
      </c>
      <c r="O346" s="26"/>
      <c r="P346" s="7"/>
      <c r="Q346" s="72">
        <f>+SUM(START:END!Q346)</f>
        <v>4946.24</v>
      </c>
      <c r="R346" s="26"/>
      <c r="S346" s="39">
        <f t="shared" si="127"/>
        <v>2672.33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tr">
        <f t="shared" ref="A347" si="133">+B347&amp;C347</f>
        <v>CarrosserieFrais de déplacement</v>
      </c>
      <c r="B347" s="7" t="s">
        <v>94</v>
      </c>
      <c r="C347" s="271" t="s">
        <v>53</v>
      </c>
      <c r="D347" s="54"/>
      <c r="E347" s="7"/>
      <c r="F347" s="19" t="e">
        <f>+SUM(START:END!F347)</f>
        <v>#N/A</v>
      </c>
      <c r="G347" s="56"/>
      <c r="H347" s="7"/>
      <c r="I347" s="19">
        <f>+SUM(START:END!I347)</f>
        <v>0</v>
      </c>
      <c r="J347" s="26"/>
      <c r="K347" s="7"/>
      <c r="L347" s="39">
        <f>+SUM(START:END!L347)</f>
        <v>210.24000000000069</v>
      </c>
      <c r="M347" s="26"/>
      <c r="N347" s="39" t="e">
        <f t="shared" si="129"/>
        <v>#N/A</v>
      </c>
      <c r="O347" s="26"/>
      <c r="P347" s="7"/>
      <c r="Q347" s="39">
        <f>+SUM(START:END!Q347)</f>
        <v>3894.87</v>
      </c>
      <c r="R347" s="26"/>
      <c r="S347" s="39">
        <f t="shared" si="127"/>
        <v>-3684.6299999999992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tr">
        <f t="shared" ref="A348" si="134">+B348&amp;C348</f>
        <v>CarrosserieServices extérieurs</v>
      </c>
      <c r="B348" s="7" t="s">
        <v>94</v>
      </c>
      <c r="C348" s="271" t="s">
        <v>54</v>
      </c>
      <c r="D348" s="57"/>
      <c r="E348" s="73"/>
      <c r="F348" s="31" t="e">
        <f>+SUM(START:END!F348)</f>
        <v>#N/A</v>
      </c>
      <c r="G348" s="59"/>
      <c r="H348" s="73"/>
      <c r="I348" s="31">
        <f>+SUM(START:END!I348)</f>
        <v>0</v>
      </c>
      <c r="J348" s="14"/>
      <c r="K348" s="73"/>
      <c r="L348" s="39">
        <f>+SUM(START:END!L348)</f>
        <v>6386.1299999999992</v>
      </c>
      <c r="M348" s="14"/>
      <c r="N348" s="61" t="e">
        <f t="shared" si="129"/>
        <v>#N/A</v>
      </c>
      <c r="O348" s="14"/>
      <c r="P348" s="73"/>
      <c r="Q348" s="39">
        <f>+SUM(START:END!Q348)</f>
        <v>11075.36</v>
      </c>
      <c r="R348" s="14"/>
      <c r="S348" s="61">
        <f t="shared" si="127"/>
        <v>-4689.2300000000014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tr">
        <f t="shared" ref="A349" si="135">+B349&amp;C349</f>
        <v>CarrosserieFournitures d'atelier</v>
      </c>
      <c r="B349" s="7" t="s">
        <v>94</v>
      </c>
      <c r="C349" s="329" t="s">
        <v>93</v>
      </c>
      <c r="D349" s="54"/>
      <c r="E349" s="7"/>
      <c r="F349" s="19">
        <f>+SUM(START:END!F349)</f>
        <v>0</v>
      </c>
      <c r="G349" s="56"/>
      <c r="H349" s="7"/>
      <c r="I349" s="19">
        <f>+SUM(START:END!I349)</f>
        <v>0</v>
      </c>
      <c r="J349" s="26"/>
      <c r="K349" s="7"/>
      <c r="L349" s="72">
        <f>+SUM(START:END!L349)</f>
        <v>0</v>
      </c>
      <c r="M349" s="26"/>
      <c r="N349" s="39">
        <f t="shared" si="129"/>
        <v>0</v>
      </c>
      <c r="O349" s="26"/>
      <c r="P349" s="7"/>
      <c r="Q349" s="72">
        <f>+SUM(START:END!Q349)</f>
        <v>0</v>
      </c>
      <c r="R349" s="26"/>
      <c r="S349" s="39">
        <f>L349-Q349</f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tr">
        <f t="shared" ref="A350" si="136">+B350&amp;C350</f>
        <v>CarrosserieFournitures autres</v>
      </c>
      <c r="B350" s="7" t="s">
        <v>94</v>
      </c>
      <c r="C350" s="271" t="s">
        <v>55</v>
      </c>
      <c r="D350" s="54"/>
      <c r="E350" s="7"/>
      <c r="F350" s="19" t="e">
        <f>+SUM(START:END!F350)</f>
        <v>#N/A</v>
      </c>
      <c r="G350" s="56"/>
      <c r="H350" s="7"/>
      <c r="I350" s="19">
        <f>+SUM(START:END!I350)</f>
        <v>0</v>
      </c>
      <c r="J350" s="26"/>
      <c r="K350" s="7"/>
      <c r="L350" s="39">
        <f>+SUM(START:END!L350)</f>
        <v>17900.539999999994</v>
      </c>
      <c r="M350" s="26"/>
      <c r="N350" s="39" t="e">
        <f t="shared" si="129"/>
        <v>#N/A</v>
      </c>
      <c r="O350" s="26"/>
      <c r="P350" s="7"/>
      <c r="Q350" s="39">
        <f>+SUM(START:END!Q350)</f>
        <v>17210.48</v>
      </c>
      <c r="R350" s="26"/>
      <c r="S350" s="39">
        <f t="shared" ref="S350:S358" si="137">L350-Q350</f>
        <v>690.05999999999403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tr">
        <f t="shared" ref="A351" si="138">+B351&amp;C351</f>
        <v>CarrosserieUniformes</v>
      </c>
      <c r="B351" s="7" t="s">
        <v>94</v>
      </c>
      <c r="C351" s="271" t="s">
        <v>56</v>
      </c>
      <c r="D351" s="54"/>
      <c r="E351" s="7"/>
      <c r="F351" s="19" t="e">
        <f>+SUM(START:END!F351)</f>
        <v>#N/A</v>
      </c>
      <c r="G351" s="56"/>
      <c r="H351" s="7"/>
      <c r="I351" s="19">
        <f>+SUM(START:END!I351)</f>
        <v>0</v>
      </c>
      <c r="J351" s="26"/>
      <c r="K351" s="7"/>
      <c r="L351" s="39">
        <f>+SUM(START:END!L351)</f>
        <v>849.36</v>
      </c>
      <c r="M351" s="26"/>
      <c r="N351" s="39" t="e">
        <f t="shared" si="129"/>
        <v>#N/A</v>
      </c>
      <c r="O351" s="26"/>
      <c r="P351" s="7"/>
      <c r="Q351" s="39">
        <f>+SUM(START:END!Q351)</f>
        <v>0</v>
      </c>
      <c r="R351" s="26"/>
      <c r="S351" s="39">
        <f t="shared" si="137"/>
        <v>849.36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tr">
        <f t="shared" ref="A352" si="139">+B352&amp;C352</f>
        <v>CarrosseriePapeterie</v>
      </c>
      <c r="B352" s="7" t="s">
        <v>94</v>
      </c>
      <c r="C352" s="271" t="s">
        <v>57</v>
      </c>
      <c r="D352" s="54"/>
      <c r="E352" s="7"/>
      <c r="F352" s="19" t="e">
        <f>+SUM(START:END!F352)</f>
        <v>#N/A</v>
      </c>
      <c r="G352" s="56"/>
      <c r="H352" s="7"/>
      <c r="I352" s="19">
        <f>+SUM(START:END!I352)</f>
        <v>0</v>
      </c>
      <c r="J352" s="26"/>
      <c r="K352" s="7"/>
      <c r="L352" s="39">
        <f>+SUM(START:END!L352)</f>
        <v>555.9699999999998</v>
      </c>
      <c r="M352" s="26"/>
      <c r="N352" s="39" t="e">
        <f t="shared" si="129"/>
        <v>#N/A</v>
      </c>
      <c r="O352" s="26"/>
      <c r="P352" s="7"/>
      <c r="Q352" s="39">
        <f>+SUM(START:END!Q352)</f>
        <v>1209.4500000000003</v>
      </c>
      <c r="R352" s="26"/>
      <c r="S352" s="39">
        <f t="shared" si="137"/>
        <v>-653.48000000000047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tr">
        <f t="shared" ref="A353" si="140">+B353&amp;C353</f>
        <v>CarrosserieTéléphone</v>
      </c>
      <c r="B353" s="7" t="s">
        <v>94</v>
      </c>
      <c r="C353" s="271" t="s">
        <v>58</v>
      </c>
      <c r="D353" s="54"/>
      <c r="E353" s="7"/>
      <c r="F353" s="19" t="e">
        <f>+SUM(START:END!F353)</f>
        <v>#N/A</v>
      </c>
      <c r="G353" s="56"/>
      <c r="H353" s="7"/>
      <c r="I353" s="19">
        <f>+SUM(START:END!I353)</f>
        <v>0</v>
      </c>
      <c r="J353" s="26"/>
      <c r="K353" s="7"/>
      <c r="L353" s="39">
        <f>+SUM(START:END!L353)</f>
        <v>1247.2800000000002</v>
      </c>
      <c r="M353" s="26"/>
      <c r="N353" s="39" t="e">
        <f t="shared" si="129"/>
        <v>#N/A</v>
      </c>
      <c r="O353" s="26"/>
      <c r="P353" s="7"/>
      <c r="Q353" s="39">
        <f>+SUM(START:END!Q353)</f>
        <v>718.82999999999993</v>
      </c>
      <c r="R353" s="26"/>
      <c r="S353" s="39">
        <f t="shared" si="137"/>
        <v>528.45000000000027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tr">
        <f t="shared" ref="A354" si="141">+B354&amp;C354</f>
        <v>CarrosserieFrais postaux</v>
      </c>
      <c r="B354" s="7" t="s">
        <v>94</v>
      </c>
      <c r="C354" s="271" t="s">
        <v>59</v>
      </c>
      <c r="D354" s="54"/>
      <c r="E354" s="7"/>
      <c r="F354" s="19" t="e">
        <f>+SUM(START:END!F354)</f>
        <v>#N/A</v>
      </c>
      <c r="G354" s="56"/>
      <c r="H354" s="7"/>
      <c r="I354" s="19">
        <f>+SUM(START:END!I354)</f>
        <v>0</v>
      </c>
      <c r="J354" s="26"/>
      <c r="K354" s="7"/>
      <c r="L354" s="39">
        <f>+SUM(START:END!L354)</f>
        <v>562.09999999999991</v>
      </c>
      <c r="M354" s="26"/>
      <c r="N354" s="39" t="e">
        <f t="shared" si="129"/>
        <v>#N/A</v>
      </c>
      <c r="O354" s="26"/>
      <c r="P354" s="7"/>
      <c r="Q354" s="39">
        <f>+SUM(START:END!Q354)</f>
        <v>760.41000000000031</v>
      </c>
      <c r="R354" s="26"/>
      <c r="S354" s="39">
        <f t="shared" si="137"/>
        <v>-198.3100000000004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tr">
        <f t="shared" ref="A355" si="142">+B355&amp;C355</f>
        <v>CarrosserieDivers</v>
      </c>
      <c r="B355" s="7" t="s">
        <v>94</v>
      </c>
      <c r="C355" s="271" t="s">
        <v>60</v>
      </c>
      <c r="D355" s="54"/>
      <c r="E355" s="7"/>
      <c r="F355" s="19" t="e">
        <f>+SUM(START:END!F355)</f>
        <v>#N/A</v>
      </c>
      <c r="G355" s="56"/>
      <c r="H355" s="7"/>
      <c r="I355" s="19">
        <f>+SUM(START:END!I355)</f>
        <v>0</v>
      </c>
      <c r="J355" s="26"/>
      <c r="K355" s="7"/>
      <c r="L355" s="39">
        <f>+SUM(START:END!L355)</f>
        <v>-2649.8</v>
      </c>
      <c r="M355" s="26"/>
      <c r="N355" s="39" t="e">
        <f t="shared" si="129"/>
        <v>#N/A</v>
      </c>
      <c r="O355" s="26"/>
      <c r="P355" s="7"/>
      <c r="Q355" s="39">
        <f>+SUM(START:END!Q355)</f>
        <v>5244.4500000000007</v>
      </c>
      <c r="R355" s="26"/>
      <c r="S355" s="39">
        <f t="shared" si="137"/>
        <v>-7894.2500000000009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tr">
        <f t="shared" ref="A356" si="143">+B356&amp;C356</f>
        <v>CarrosserieFormation</v>
      </c>
      <c r="B356" s="7" t="s">
        <v>94</v>
      </c>
      <c r="C356" s="271" t="s">
        <v>61</v>
      </c>
      <c r="D356" s="54"/>
      <c r="E356" s="7"/>
      <c r="F356" s="19" t="e">
        <f>+SUM(START:END!F356)</f>
        <v>#N/A</v>
      </c>
      <c r="G356" s="56"/>
      <c r="H356" s="7"/>
      <c r="I356" s="19">
        <f>+SUM(START:END!I356)</f>
        <v>0</v>
      </c>
      <c r="J356" s="26"/>
      <c r="K356" s="7"/>
      <c r="L356" s="39">
        <f>+SUM(START:END!L356)</f>
        <v>473</v>
      </c>
      <c r="M356" s="26"/>
      <c r="N356" s="39" t="e">
        <f t="shared" si="129"/>
        <v>#N/A</v>
      </c>
      <c r="O356" s="26"/>
      <c r="P356" s="7"/>
      <c r="Q356" s="39">
        <f>+SUM(START:END!Q356)</f>
        <v>1692</v>
      </c>
      <c r="R356" s="26"/>
      <c r="S356" s="39">
        <f t="shared" si="137"/>
        <v>-1219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tr">
        <f t="shared" ref="A357" si="144">+B357&amp;C357</f>
        <v>CarrosserieFrais bancaires</v>
      </c>
      <c r="B357" s="7" t="s">
        <v>94</v>
      </c>
      <c r="C357" s="271" t="s">
        <v>62</v>
      </c>
      <c r="D357" s="54"/>
      <c r="E357" s="7"/>
      <c r="F357" s="19" t="e">
        <f>+SUM(START:END!F357)</f>
        <v>#N/A</v>
      </c>
      <c r="G357" s="56"/>
      <c r="H357" s="7"/>
      <c r="I357" s="19">
        <f>+SUM(START:END!I357)</f>
        <v>0</v>
      </c>
      <c r="J357" s="26"/>
      <c r="K357" s="7"/>
      <c r="L357" s="39">
        <f>+SUM(START:END!L357)</f>
        <v>1744.0400000000004</v>
      </c>
      <c r="M357" s="26"/>
      <c r="N357" s="39" t="e">
        <f t="shared" si="129"/>
        <v>#N/A</v>
      </c>
      <c r="O357" s="26"/>
      <c r="P357" s="7"/>
      <c r="Q357" s="39">
        <f>+SUM(START:END!Q357)</f>
        <v>328.83000000000004</v>
      </c>
      <c r="R357" s="26"/>
      <c r="S357" s="39">
        <f t="shared" si="137"/>
        <v>1415.2100000000005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260" t="str">
        <f t="shared" ref="A358" si="145">+B358&amp;C358</f>
        <v>Carrosserie[...]</v>
      </c>
      <c r="B358" s="7" t="s">
        <v>94</v>
      </c>
      <c r="C358" s="271" t="s">
        <v>19</v>
      </c>
      <c r="D358" s="54"/>
      <c r="E358" s="7"/>
      <c r="F358" s="19" t="e">
        <f>+SUM(START:END!F358)</f>
        <v>#N/A</v>
      </c>
      <c r="G358" s="56"/>
      <c r="H358" s="7"/>
      <c r="I358" s="19">
        <f>+SUM(START:END!I358)</f>
        <v>0</v>
      </c>
      <c r="J358" s="26"/>
      <c r="K358" s="7"/>
      <c r="L358" s="39">
        <f>+SUM(START:END!L358)</f>
        <v>8709.57</v>
      </c>
      <c r="M358" s="26"/>
      <c r="N358" s="39" t="e">
        <f t="shared" si="129"/>
        <v>#N/A</v>
      </c>
      <c r="O358" s="26"/>
      <c r="P358" s="7"/>
      <c r="Q358" s="39">
        <f>+SUM(START:END!Q358)</f>
        <v>0</v>
      </c>
      <c r="R358" s="26"/>
      <c r="S358" s="39">
        <f t="shared" si="137"/>
        <v>8709.57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>
      <c r="A359" s="260" t="str">
        <f t="shared" ref="A359" si="146">+B359&amp;C359</f>
        <v>Carrosserie[...]</v>
      </c>
      <c r="B359" s="7" t="s">
        <v>94</v>
      </c>
      <c r="C359" s="271" t="s">
        <v>19</v>
      </c>
      <c r="D359" s="54"/>
      <c r="E359" s="7"/>
      <c r="F359" s="19" t="e">
        <f>+SUM(START:END!F359)</f>
        <v>#N/A</v>
      </c>
      <c r="G359" s="56"/>
      <c r="H359" s="7"/>
      <c r="I359" s="19">
        <f>+SUM(START:END!I359)</f>
        <v>0</v>
      </c>
      <c r="J359" s="26"/>
      <c r="K359" s="7"/>
      <c r="L359" s="39">
        <f>+SUM(START:END!L359)</f>
        <v>0</v>
      </c>
      <c r="M359" s="26"/>
      <c r="N359" s="39" t="e">
        <f t="shared" si="129"/>
        <v>#N/A</v>
      </c>
      <c r="O359" s="26"/>
      <c r="P359" s="7"/>
      <c r="Q359" s="39">
        <f>+SUM(START:END!Q359)</f>
        <v>0</v>
      </c>
      <c r="R359" s="26"/>
      <c r="S359" s="39">
        <f>L359-Q359</f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>
      <c r="A360" s="260" t="str">
        <f t="shared" ref="A360" si="147">+B360&amp;C360</f>
        <v>Carrosserie[...]</v>
      </c>
      <c r="B360" s="7" t="s">
        <v>94</v>
      </c>
      <c r="C360" s="271" t="s">
        <v>19</v>
      </c>
      <c r="D360" s="54"/>
      <c r="E360" s="7"/>
      <c r="F360" s="19" t="e">
        <f>+SUM(START:END!F360)</f>
        <v>#N/A</v>
      </c>
      <c r="G360" s="56"/>
      <c r="H360" s="7"/>
      <c r="I360" s="19">
        <f>+SUM(START:END!I360)</f>
        <v>0</v>
      </c>
      <c r="J360" s="26"/>
      <c r="K360" s="7"/>
      <c r="L360" s="39">
        <f>+SUM(START:END!L360)</f>
        <v>0</v>
      </c>
      <c r="M360" s="26"/>
      <c r="N360" s="39" t="e">
        <f t="shared" si="129"/>
        <v>#N/A</v>
      </c>
      <c r="O360" s="26"/>
      <c r="P360" s="7"/>
      <c r="Q360" s="39">
        <f>+SUM(START:END!Q360)</f>
        <v>0</v>
      </c>
      <c r="R360" s="26"/>
      <c r="S360" s="39">
        <f t="shared" ref="S360" si="148">L360-Q360</f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F361/F$250</f>
        <v>#N/A</v>
      </c>
      <c r="F361" s="64" t="e">
        <f>+SUM(F343:F360)</f>
        <v>#N/A</v>
      </c>
      <c r="G361" s="65" t="s">
        <v>38</v>
      </c>
      <c r="H361" s="63" t="e">
        <f>I361/I$250</f>
        <v>#DIV/0!</v>
      </c>
      <c r="I361" s="64">
        <f>+SUM(I343:I360)</f>
        <v>0</v>
      </c>
      <c r="J361" s="65" t="s">
        <v>38</v>
      </c>
      <c r="K361" s="63">
        <f>L361/L$250</f>
        <v>96856.997769206573</v>
      </c>
      <c r="L361" s="64">
        <f>+SUM(L343:L360)</f>
        <v>60127.539999999994</v>
      </c>
      <c r="M361" s="66"/>
      <c r="N361" s="64" t="e">
        <f>+SUM(N343:N360)</f>
        <v>#N/A</v>
      </c>
      <c r="O361" s="65" t="s">
        <v>38</v>
      </c>
      <c r="P361" s="63">
        <f>Q361/Q$250</f>
        <v>78107.418743618764</v>
      </c>
      <c r="Q361" s="64">
        <f>+SUM(Q343:Q360)</f>
        <v>52614.229999999996</v>
      </c>
      <c r="R361" s="67"/>
      <c r="S361" s="64">
        <f>L361-Q361</f>
        <v>7513.3099999999977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F363/F$250</f>
        <v>#N/A</v>
      </c>
      <c r="F363" s="64" t="e">
        <f>F342+F361</f>
        <v>#N/A</v>
      </c>
      <c r="G363" s="65" t="s">
        <v>38</v>
      </c>
      <c r="H363" s="63" t="e">
        <f>I363/I$250</f>
        <v>#DIV/0!</v>
      </c>
      <c r="I363" s="64">
        <f>I342+I361</f>
        <v>0</v>
      </c>
      <c r="J363" s="65" t="s">
        <v>38</v>
      </c>
      <c r="K363" s="63">
        <f>L363/L$250</f>
        <v>260612.92756931306</v>
      </c>
      <c r="L363" s="64">
        <f>L342+L361</f>
        <v>161785.04999999999</v>
      </c>
      <c r="M363" s="66"/>
      <c r="N363" s="64" t="e">
        <f>L363-F363</f>
        <v>#N/A</v>
      </c>
      <c r="O363" s="65" t="s">
        <v>38</v>
      </c>
      <c r="P363" s="63">
        <f>Q363/Q$250</f>
        <v>213462.43807559283</v>
      </c>
      <c r="Q363" s="64">
        <f>Q342+Q361</f>
        <v>143791.23000000001</v>
      </c>
      <c r="R363" s="67"/>
      <c r="S363" s="64">
        <f>L363-Q363</f>
        <v>17993.819999999978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 t="e">
        <f>F326-F363</f>
        <v>#N/A</v>
      </c>
      <c r="G365" s="279"/>
      <c r="H365" s="278"/>
      <c r="I365" s="138">
        <f>I326-I363</f>
        <v>0</v>
      </c>
      <c r="J365" s="279"/>
      <c r="K365" s="278"/>
      <c r="L365" s="138">
        <f>L326-L363</f>
        <v>48923.070000000036</v>
      </c>
      <c r="M365" s="280"/>
      <c r="N365" s="138" t="e">
        <f>L365-F365</f>
        <v>#N/A</v>
      </c>
      <c r="O365" s="279"/>
      <c r="P365" s="278"/>
      <c r="Q365" s="138">
        <f>Q326-Q363</f>
        <v>105799.02999999991</v>
      </c>
      <c r="R365" s="281"/>
      <c r="S365" s="138">
        <f>L365-Q365</f>
        <v>-56875.959999999875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  Q3 2026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426" t="s">
        <v>5</v>
      </c>
      <c r="E369" s="427"/>
      <c r="F369" s="425"/>
      <c r="G369" s="424" t="s">
        <v>71</v>
      </c>
      <c r="H369" s="427"/>
      <c r="I369" s="425"/>
      <c r="J369" s="424" t="s">
        <v>7</v>
      </c>
      <c r="K369" s="427"/>
      <c r="L369" s="425"/>
      <c r="M369" s="424" t="s">
        <v>210</v>
      </c>
      <c r="N369" s="425"/>
      <c r="O369" s="426" t="s">
        <v>8</v>
      </c>
      <c r="P369" s="427"/>
      <c r="Q369" s="425"/>
      <c r="R369" s="424" t="s">
        <v>211</v>
      </c>
      <c r="S369" s="425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tr">
        <f t="shared" ref="A370" si="149">+B370&amp;C370</f>
        <v>Pièces</v>
      </c>
      <c r="B370" s="7" t="s">
        <v>98</v>
      </c>
      <c r="C370" s="330"/>
      <c r="D370" s="53" t="s">
        <v>79</v>
      </c>
      <c r="E370" s="53" t="s">
        <v>99</v>
      </c>
      <c r="F370" s="84" t="s">
        <v>12</v>
      </c>
      <c r="G370" s="85" t="s">
        <v>79</v>
      </c>
      <c r="H370" s="53" t="s">
        <v>99</v>
      </c>
      <c r="I370" s="84" t="s">
        <v>12</v>
      </c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214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tr">
        <f t="shared" ref="A371" si="150">+B371&amp;C371</f>
        <v>PiècesPièces Ro Clients</v>
      </c>
      <c r="B371" s="7" t="s">
        <v>98</v>
      </c>
      <c r="C371" s="331" t="s">
        <v>100</v>
      </c>
      <c r="D371" s="55" t="e">
        <f>+SUM(START:END!D371)</f>
        <v>#N/A</v>
      </c>
      <c r="E371" s="93" t="e">
        <f>IF(D371=0,0,F371/D371)</f>
        <v>#N/A</v>
      </c>
      <c r="F371" s="39" t="e">
        <f>+SUM(START:END!F371)</f>
        <v>#N/A</v>
      </c>
      <c r="G371" s="55">
        <f>+SUM(START:END!G371)</f>
        <v>0</v>
      </c>
      <c r="H371" s="93">
        <f>IF(G371=0,0,I371/G371)</f>
        <v>0</v>
      </c>
      <c r="I371" s="39">
        <f>+SUM(START:END!I371)</f>
        <v>0</v>
      </c>
      <c r="J371" s="55">
        <f>+SUM(START:END!J371)</f>
        <v>161286.71000000002</v>
      </c>
      <c r="K371" s="93">
        <f>IF(J371=0,0,L371/J371)</f>
        <v>0.33570577513795152</v>
      </c>
      <c r="L371" s="39">
        <f>+SUM(START:END!L371)</f>
        <v>54144.880000000005</v>
      </c>
      <c r="M371" s="99" t="e">
        <f t="shared" ref="M371:M377" si="151">(+J371-D371)/D371</f>
        <v>#N/A</v>
      </c>
      <c r="N371" s="39" t="e">
        <f t="shared" ref="N371:N380" si="152">L371-F371</f>
        <v>#N/A</v>
      </c>
      <c r="O371" s="55">
        <f>+SUM(START:END!O371)</f>
        <v>159052.87</v>
      </c>
      <c r="P371" s="93">
        <f>IF(O371=0,0,Q371/O371)</f>
        <v>0.39730795175214401</v>
      </c>
      <c r="Q371" s="39">
        <f>+SUM(START:END!Q371)</f>
        <v>63192.97000000003</v>
      </c>
      <c r="R371" s="99">
        <f>IF(O371=0,0,(J371-O371)/O371)</f>
        <v>1.4044638113100541E-2</v>
      </c>
      <c r="S371" s="39">
        <f t="shared" ref="S371:S376" si="153">L371-Q371</f>
        <v>-9048.0900000000256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tr">
        <f t="shared" ref="A372" si="154">+B372&amp;C372</f>
        <v>PiècesPièces Ro Carrosserie</v>
      </c>
      <c r="B372" s="7" t="s">
        <v>98</v>
      </c>
      <c r="C372" s="331" t="s">
        <v>101</v>
      </c>
      <c r="D372" s="55" t="e">
        <f>+SUM(START:END!D372)</f>
        <v>#N/A</v>
      </c>
      <c r="E372" s="93" t="e">
        <f t="shared" ref="E372:E379" si="155">IF(D372=0,0,F372/D372)</f>
        <v>#N/A</v>
      </c>
      <c r="F372" s="39" t="e">
        <f>+SUM(START:END!F372)</f>
        <v>#N/A</v>
      </c>
      <c r="G372" s="55">
        <f>+SUM(START:END!G372)</f>
        <v>0</v>
      </c>
      <c r="H372" s="93">
        <f t="shared" ref="H372:H379" si="156">IF(G372=0,0,I372/G372)</f>
        <v>0</v>
      </c>
      <c r="I372" s="39">
        <f>+SUM(START:END!I372)</f>
        <v>0</v>
      </c>
      <c r="J372" s="55">
        <f>+SUM(START:END!J372)</f>
        <v>0</v>
      </c>
      <c r="K372" s="93">
        <f t="shared" ref="K372:K379" si="157">IF(J372=0,0,L372/J372)</f>
        <v>0</v>
      </c>
      <c r="L372" s="39">
        <f>+SUM(START:END!L372)</f>
        <v>0</v>
      </c>
      <c r="M372" s="99" t="e">
        <f t="shared" si="151"/>
        <v>#N/A</v>
      </c>
      <c r="N372" s="39" t="e">
        <f t="shared" si="152"/>
        <v>#N/A</v>
      </c>
      <c r="O372" s="55">
        <f>+SUM(START:END!O372)</f>
        <v>0</v>
      </c>
      <c r="P372" s="93">
        <f t="shared" ref="P372:P379" si="158">IF(O372=0,0,Q372/O372)</f>
        <v>0</v>
      </c>
      <c r="Q372" s="39">
        <f>+SUM(START:END!Q372)</f>
        <v>0</v>
      </c>
      <c r="R372" s="99">
        <f t="shared" ref="R372:R376" si="159">IF(O372=0,0,(J372-O372)/O372)</f>
        <v>0</v>
      </c>
      <c r="S372" s="39">
        <f t="shared" si="153"/>
        <v>0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tr">
        <f t="shared" ref="A373" si="160">+B373&amp;C373</f>
        <v>PiècesP/A Garantie</v>
      </c>
      <c r="B373" s="7" t="s">
        <v>98</v>
      </c>
      <c r="C373" s="331" t="s">
        <v>102</v>
      </c>
      <c r="D373" s="55" t="e">
        <f>+SUM(START:END!D373)</f>
        <v>#N/A</v>
      </c>
      <c r="E373" s="93" t="e">
        <f t="shared" si="155"/>
        <v>#N/A</v>
      </c>
      <c r="F373" s="39" t="e">
        <f>+SUM(START:END!F373)</f>
        <v>#N/A</v>
      </c>
      <c r="G373" s="55">
        <f>+SUM(START:END!G373)</f>
        <v>0</v>
      </c>
      <c r="H373" s="93">
        <f t="shared" si="156"/>
        <v>0</v>
      </c>
      <c r="I373" s="39">
        <f>+SUM(START:END!I373)</f>
        <v>0</v>
      </c>
      <c r="J373" s="55">
        <f>+SUM(START:END!J373)</f>
        <v>182662.99</v>
      </c>
      <c r="K373" s="93">
        <f t="shared" si="157"/>
        <v>0.28367689590540479</v>
      </c>
      <c r="L373" s="39">
        <f>+SUM(START:END!L373)</f>
        <v>51817.26999999999</v>
      </c>
      <c r="M373" s="99" t="e">
        <f t="shared" si="151"/>
        <v>#N/A</v>
      </c>
      <c r="N373" s="39" t="e">
        <f t="shared" si="152"/>
        <v>#N/A</v>
      </c>
      <c r="O373" s="55">
        <f>+SUM(START:END!O373)</f>
        <v>170353.91999999998</v>
      </c>
      <c r="P373" s="93">
        <f t="shared" si="158"/>
        <v>0.2776886496066539</v>
      </c>
      <c r="Q373" s="39">
        <f>+SUM(START:END!Q373)</f>
        <v>47305.349999999948</v>
      </c>
      <c r="R373" s="99">
        <f t="shared" si="159"/>
        <v>7.225586590552191E-2</v>
      </c>
      <c r="S373" s="39">
        <f t="shared" si="153"/>
        <v>4511.9200000000419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tr">
        <f t="shared" ref="A374" si="161">+B374&amp;C374</f>
        <v>PiècesVentes Internes</v>
      </c>
      <c r="B374" s="7" t="s">
        <v>98</v>
      </c>
      <c r="C374" s="331" t="s">
        <v>103</v>
      </c>
      <c r="D374" s="55" t="e">
        <f>+SUM(START:END!D374)</f>
        <v>#N/A</v>
      </c>
      <c r="E374" s="93" t="e">
        <f t="shared" si="155"/>
        <v>#N/A</v>
      </c>
      <c r="F374" s="39" t="e">
        <f>+SUM(START:END!F374)</f>
        <v>#N/A</v>
      </c>
      <c r="G374" s="55">
        <f>+SUM(START:END!G374)</f>
        <v>0</v>
      </c>
      <c r="H374" s="93">
        <f t="shared" si="156"/>
        <v>0</v>
      </c>
      <c r="I374" s="39">
        <f>+SUM(START:END!I374)</f>
        <v>0</v>
      </c>
      <c r="J374" s="55">
        <f>+SUM(START:END!J374)</f>
        <v>119816.13</v>
      </c>
      <c r="K374" s="93">
        <f t="shared" si="157"/>
        <v>0.28858368234727694</v>
      </c>
      <c r="L374" s="39">
        <f>+SUM(START:END!L374)</f>
        <v>34576.98000000004</v>
      </c>
      <c r="M374" s="99" t="e">
        <f t="shared" si="151"/>
        <v>#N/A</v>
      </c>
      <c r="N374" s="39" t="e">
        <f t="shared" si="152"/>
        <v>#N/A</v>
      </c>
      <c r="O374" s="55">
        <f>+SUM(START:END!O374)</f>
        <v>151098.33000000002</v>
      </c>
      <c r="P374" s="93">
        <f t="shared" si="158"/>
        <v>0.31169715773827572</v>
      </c>
      <c r="Q374" s="39">
        <f>+SUM(START:END!Q374)</f>
        <v>47096.920000000042</v>
      </c>
      <c r="R374" s="99">
        <f t="shared" si="159"/>
        <v>-0.2070320697786667</v>
      </c>
      <c r="S374" s="39">
        <f t="shared" si="153"/>
        <v>-12519.940000000002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tr">
        <f t="shared" ref="A375" si="162">+B375&amp;C375</f>
        <v>PiècesVentes Détails</v>
      </c>
      <c r="B375" s="7" t="s">
        <v>98</v>
      </c>
      <c r="C375" s="331" t="s">
        <v>104</v>
      </c>
      <c r="D375" s="55" t="e">
        <f>+SUM(START:END!D375)</f>
        <v>#N/A</v>
      </c>
      <c r="E375" s="93" t="e">
        <f t="shared" si="155"/>
        <v>#N/A</v>
      </c>
      <c r="F375" s="39" t="e">
        <f>+SUM(START:END!F375)</f>
        <v>#N/A</v>
      </c>
      <c r="G375" s="55">
        <f>+SUM(START:END!G375)</f>
        <v>0</v>
      </c>
      <c r="H375" s="93">
        <f t="shared" si="156"/>
        <v>0</v>
      </c>
      <c r="I375" s="39">
        <f>+SUM(START:END!I375)</f>
        <v>0</v>
      </c>
      <c r="J375" s="55">
        <f>+SUM(START:END!J375)</f>
        <v>117343.62000000002</v>
      </c>
      <c r="K375" s="93">
        <f t="shared" si="157"/>
        <v>0.19224181084578779</v>
      </c>
      <c r="L375" s="39">
        <f>+SUM(START:END!L375)</f>
        <v>22558.350000000006</v>
      </c>
      <c r="M375" s="99" t="e">
        <f t="shared" si="151"/>
        <v>#N/A</v>
      </c>
      <c r="N375" s="39" t="e">
        <f t="shared" si="152"/>
        <v>#N/A</v>
      </c>
      <c r="O375" s="55">
        <f>+SUM(START:END!O375)</f>
        <v>88589.48000000001</v>
      </c>
      <c r="P375" s="93">
        <f t="shared" si="158"/>
        <v>0.22526839529930676</v>
      </c>
      <c r="Q375" s="39">
        <f>+SUM(START:END!Q375)</f>
        <v>19956.410000000033</v>
      </c>
      <c r="R375" s="99">
        <f t="shared" si="159"/>
        <v>0.32457736516796365</v>
      </c>
      <c r="S375" s="39">
        <f t="shared" si="153"/>
        <v>2601.9399999999732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tr">
        <f t="shared" ref="A376" si="163">+B376&amp;C376</f>
        <v>PiècesVentes de Gros</v>
      </c>
      <c r="B376" s="7" t="s">
        <v>98</v>
      </c>
      <c r="C376" s="331" t="s">
        <v>105</v>
      </c>
      <c r="D376" s="55" t="e">
        <f>+SUM(START:END!D376)</f>
        <v>#N/A</v>
      </c>
      <c r="E376" s="93" t="e">
        <f t="shared" si="155"/>
        <v>#N/A</v>
      </c>
      <c r="F376" s="39" t="e">
        <f>+SUM(START:END!F376)</f>
        <v>#N/A</v>
      </c>
      <c r="G376" s="55">
        <f>+SUM(START:END!G376)</f>
        <v>0</v>
      </c>
      <c r="H376" s="93">
        <f t="shared" si="156"/>
        <v>0</v>
      </c>
      <c r="I376" s="39">
        <f>+SUM(START:END!I376)</f>
        <v>0</v>
      </c>
      <c r="J376" s="55">
        <f>+SUM(START:END!J376)</f>
        <v>402054.81000000006</v>
      </c>
      <c r="K376" s="93">
        <f t="shared" si="157"/>
        <v>0.19012668944316344</v>
      </c>
      <c r="L376" s="39">
        <f>+SUM(START:END!L376)</f>
        <v>76441.350000000093</v>
      </c>
      <c r="M376" s="99" t="e">
        <f t="shared" si="151"/>
        <v>#N/A</v>
      </c>
      <c r="N376" s="39" t="e">
        <f t="shared" si="152"/>
        <v>#N/A</v>
      </c>
      <c r="O376" s="55">
        <f>+SUM(START:END!O376)</f>
        <v>473145.18000000005</v>
      </c>
      <c r="P376" s="93">
        <f t="shared" si="158"/>
        <v>0.23675952907308467</v>
      </c>
      <c r="Q376" s="39">
        <f>+SUM(START:END!Q376)</f>
        <v>112021.62999999989</v>
      </c>
      <c r="R376" s="99">
        <f t="shared" si="159"/>
        <v>-0.15025064822598422</v>
      </c>
      <c r="S376" s="39">
        <f t="shared" si="153"/>
        <v>-35580.279999999795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260" t="str">
        <f t="shared" ref="A377" si="164">+B377&amp;C377</f>
        <v>Pièces[...]</v>
      </c>
      <c r="B377" s="7" t="s">
        <v>98</v>
      </c>
      <c r="C377" s="331" t="s">
        <v>19</v>
      </c>
      <c r="D377" s="55" t="e">
        <f>+SUM(START:END!D377)</f>
        <v>#N/A</v>
      </c>
      <c r="E377" s="93" t="e">
        <f t="shared" si="155"/>
        <v>#N/A</v>
      </c>
      <c r="F377" s="39" t="e">
        <f>+SUM(START:END!F377)</f>
        <v>#N/A</v>
      </c>
      <c r="G377" s="55">
        <f>+SUM(START:END!G377)</f>
        <v>0</v>
      </c>
      <c r="H377" s="93">
        <f t="shared" si="156"/>
        <v>0</v>
      </c>
      <c r="I377" s="39">
        <f>+SUM(START:END!I377)</f>
        <v>0</v>
      </c>
      <c r="J377" s="55">
        <f>+SUM(START:END!J377)</f>
        <v>0</v>
      </c>
      <c r="K377" s="93">
        <f t="shared" si="157"/>
        <v>0</v>
      </c>
      <c r="L377" s="39">
        <f>+SUM(START:END!L377)</f>
        <v>0</v>
      </c>
      <c r="M377" s="99" t="e">
        <f t="shared" si="151"/>
        <v>#N/A</v>
      </c>
      <c r="N377" s="39" t="e">
        <f t="shared" si="152"/>
        <v>#N/A</v>
      </c>
      <c r="O377" s="55">
        <f>+SUM(START:END!O377)</f>
        <v>0</v>
      </c>
      <c r="P377" s="93">
        <f t="shared" si="158"/>
        <v>0</v>
      </c>
      <c r="Q377" s="39">
        <f>+SUM(START:END!Q377)</f>
        <v>0</v>
      </c>
      <c r="R377" s="99">
        <f>IF(O377=0,0,(J377-O377)/O377)</f>
        <v>0</v>
      </c>
      <c r="S377" s="39">
        <f>L377-Q377</f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tr">
        <f t="shared" ref="A378" si="165">+B378&amp;C378</f>
        <v>PiècesEscomptes</v>
      </c>
      <c r="B378" s="7" t="s">
        <v>98</v>
      </c>
      <c r="C378" s="331" t="s">
        <v>106</v>
      </c>
      <c r="D378" s="55" t="e">
        <f>+SUM(START:END!D378)</f>
        <v>#N/A</v>
      </c>
      <c r="E378" s="93" t="e">
        <f t="shared" si="155"/>
        <v>#N/A</v>
      </c>
      <c r="F378" s="39" t="e">
        <f>+SUM(START:END!F378)</f>
        <v>#N/A</v>
      </c>
      <c r="G378" s="55">
        <f>+SUM(START:END!G378)</f>
        <v>0</v>
      </c>
      <c r="H378" s="93">
        <f t="shared" si="156"/>
        <v>0</v>
      </c>
      <c r="I378" s="39">
        <f>+SUM(START:END!I378)</f>
        <v>0</v>
      </c>
      <c r="J378" s="55">
        <f>+SUM(START:END!J378)</f>
        <v>0</v>
      </c>
      <c r="K378" s="93">
        <f t="shared" si="157"/>
        <v>0</v>
      </c>
      <c r="L378" s="39">
        <f>+SUM(START:END!L378)</f>
        <v>26423.960000000006</v>
      </c>
      <c r="M378" s="99"/>
      <c r="N378" s="39" t="e">
        <f t="shared" si="152"/>
        <v>#N/A</v>
      </c>
      <c r="O378" s="55">
        <f>+SUM(START:END!O378)</f>
        <v>0</v>
      </c>
      <c r="P378" s="93">
        <f t="shared" si="158"/>
        <v>0</v>
      </c>
      <c r="Q378" s="39">
        <f>+SUM(START:END!Q378)</f>
        <v>19829.060000000005</v>
      </c>
      <c r="R378" s="99">
        <f t="shared" ref="R378:R379" si="166">IF(O378=0,0,(J378-O378)/O378)</f>
        <v>0</v>
      </c>
      <c r="S378" s="39">
        <f>L378-Q378</f>
        <v>6594.9000000000015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tr">
        <f t="shared" ref="A379" si="167">+B379&amp;C379</f>
        <v>PiècesRectif. Inventaire</v>
      </c>
      <c r="B379" s="7" t="s">
        <v>98</v>
      </c>
      <c r="C379" s="332" t="s">
        <v>107</v>
      </c>
      <c r="D379" s="55" t="e">
        <f>+SUM(START:END!D379)</f>
        <v>#N/A</v>
      </c>
      <c r="E379" s="93" t="e">
        <f t="shared" si="155"/>
        <v>#N/A</v>
      </c>
      <c r="F379" s="39" t="e">
        <f>+SUM(START:END!F379)</f>
        <v>#N/A</v>
      </c>
      <c r="G379" s="55">
        <f>+SUM(START:END!G379)</f>
        <v>0</v>
      </c>
      <c r="H379" s="93">
        <f t="shared" si="156"/>
        <v>0</v>
      </c>
      <c r="I379" s="39">
        <f>+SUM(START:END!I379)</f>
        <v>0</v>
      </c>
      <c r="J379" s="55">
        <f>+SUM(START:END!J379)</f>
        <v>0</v>
      </c>
      <c r="K379" s="93">
        <f t="shared" si="157"/>
        <v>0</v>
      </c>
      <c r="L379" s="39">
        <f>+SUM(START:END!L379)</f>
        <v>5878.3799999999992</v>
      </c>
      <c r="M379" s="99"/>
      <c r="N379" s="39" t="e">
        <f t="shared" si="152"/>
        <v>#N/A</v>
      </c>
      <c r="O379" s="55">
        <f>+SUM(START:END!O379)</f>
        <v>0</v>
      </c>
      <c r="P379" s="93">
        <f t="shared" si="158"/>
        <v>0</v>
      </c>
      <c r="Q379" s="39">
        <f>+SUM(START:END!Q379)</f>
        <v>3424.369999999999</v>
      </c>
      <c r="R379" s="99">
        <f t="shared" si="166"/>
        <v>0</v>
      </c>
      <c r="S379" s="39">
        <f>L379-Q379</f>
        <v>2454.0100000000002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tr">
        <f t="shared" ref="A380" si="168">+B380&amp;C380</f>
        <v>PiècesSous-total Pièces</v>
      </c>
      <c r="B380" s="7" t="s">
        <v>98</v>
      </c>
      <c r="C380" s="333" t="s">
        <v>108</v>
      </c>
      <c r="D380" s="122" t="e">
        <f>SUM(D371:D379)</f>
        <v>#N/A</v>
      </c>
      <c r="E380" s="133" t="e">
        <f>IF(D380&lt;=0,0,F380/D380)</f>
        <v>#N/A</v>
      </c>
      <c r="F380" s="123" t="e">
        <f>SUM(F371:F379)</f>
        <v>#N/A</v>
      </c>
      <c r="G380" s="122">
        <f>SUM(G371:G379)</f>
        <v>0</v>
      </c>
      <c r="H380" s="133">
        <f>IF(G380&lt;=0,0,I380/G380)</f>
        <v>0</v>
      </c>
      <c r="I380" s="123">
        <f>SUM(I371:I379)</f>
        <v>0</v>
      </c>
      <c r="J380" s="122">
        <f>SUM(J371:J379)</f>
        <v>983164.26000000013</v>
      </c>
      <c r="K380" s="133">
        <f>IF(J380&lt;=0,0,L380/J380)</f>
        <v>0.27649618793099756</v>
      </c>
      <c r="L380" s="123">
        <f>SUM(L371:L379)</f>
        <v>271841.17000000016</v>
      </c>
      <c r="M380" s="134" t="e">
        <f>(+J380-D380)/D380</f>
        <v>#N/A</v>
      </c>
      <c r="N380" s="123" t="e">
        <f t="shared" si="152"/>
        <v>#N/A</v>
      </c>
      <c r="O380" s="122">
        <f>SUM(O371:O379)</f>
        <v>1042239.78</v>
      </c>
      <c r="P380" s="133">
        <f>IF(O380&lt;=0,0,Q380/O380)</f>
        <v>0.30014850325517212</v>
      </c>
      <c r="Q380" s="123">
        <f>SUM(Q371:Q379)</f>
        <v>312826.7099999999</v>
      </c>
      <c r="R380" s="134">
        <f>IF(O380=0,0,(J380-O380)/O380)</f>
        <v>-5.6681313775991067E-2</v>
      </c>
      <c r="S380" s="123">
        <f>L380-Q380</f>
        <v>-40985.539999999746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tr">
        <f t="shared" ref="A381" si="169">+B381&amp;C381</f>
        <v>Pièces</v>
      </c>
      <c r="B381" s="7" t="s">
        <v>98</v>
      </c>
      <c r="C381" s="331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#N/A</v>
      </c>
      <c r="O381" s="40"/>
      <c r="P381" s="7"/>
      <c r="Q381" s="39"/>
      <c r="R381" s="26"/>
      <c r="S381" s="28">
        <f>IF(Q380=0,0,S380/Q380)</f>
        <v>-0.1310167536525246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tr">
        <f t="shared" ref="A382" si="170">+B382&amp;C382</f>
        <v>Pièces</v>
      </c>
      <c r="B382" s="7" t="s">
        <v>98</v>
      </c>
      <c r="C382" s="332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tr">
        <f t="shared" ref="A383" si="171">+B383&amp;C383</f>
        <v>PiècesVentes Pneus</v>
      </c>
      <c r="B383" s="7" t="s">
        <v>98</v>
      </c>
      <c r="C383" s="331" t="s">
        <v>109</v>
      </c>
      <c r="D383" s="55" t="e">
        <f>+SUM(START:END!D383)</f>
        <v>#N/A</v>
      </c>
      <c r="E383" s="93" t="e">
        <f>IF(D383=0,0,F383/D383)</f>
        <v>#N/A</v>
      </c>
      <c r="F383" s="72" t="e">
        <f>+SUM(START:END!F383)</f>
        <v>#N/A</v>
      </c>
      <c r="G383" s="55">
        <f>+SUM(START:END!G383)</f>
        <v>0</v>
      </c>
      <c r="H383" s="93">
        <f>IF(G383=0,0,I383/G383)</f>
        <v>0</v>
      </c>
      <c r="I383" s="72">
        <f>+SUM(START:END!I383)</f>
        <v>0</v>
      </c>
      <c r="J383" s="55">
        <f>+SUM(START:END!J383)</f>
        <v>70939.020000000019</v>
      </c>
      <c r="K383" s="93">
        <f>IF(J383=0,0,L383/J383)</f>
        <v>0.10796455885632507</v>
      </c>
      <c r="L383" s="72">
        <f>+SUM(START:END!L383)</f>
        <v>7658.9000000000233</v>
      </c>
      <c r="M383" s="99" t="e">
        <f>(+J383-D383)/D383</f>
        <v>#N/A</v>
      </c>
      <c r="N383" s="39" t="e">
        <f>L383-F383</f>
        <v>#N/A</v>
      </c>
      <c r="O383" s="55">
        <f>+SUM(START:END!O383)</f>
        <v>41459.040000000008</v>
      </c>
      <c r="P383" s="93">
        <f>IF(O383=0,0,Q383/O383)</f>
        <v>0.11044515261327816</v>
      </c>
      <c r="Q383" s="72">
        <f>+SUM(START:END!Q383)</f>
        <v>4578.9500000000044</v>
      </c>
      <c r="R383" s="99">
        <f>IF(O383=0,0,(J383-O383)/O383)</f>
        <v>0.71106277424658182</v>
      </c>
      <c r="S383" s="39">
        <f>L383-Q383</f>
        <v>3079.9500000000189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tr">
        <f t="shared" ref="A384" si="172">+B384&amp;C384</f>
        <v>PiècesHuiles et Graisse</v>
      </c>
      <c r="B384" s="7" t="s">
        <v>98</v>
      </c>
      <c r="C384" s="332" t="s">
        <v>110</v>
      </c>
      <c r="D384" s="55" t="e">
        <f>+SUM(START:END!D384)</f>
        <v>#N/A</v>
      </c>
      <c r="E384" s="93" t="e">
        <f>IF(D384=0,0,F384/D384)</f>
        <v>#N/A</v>
      </c>
      <c r="F384" s="61" t="e">
        <f>+SUM(START:END!F384)</f>
        <v>#N/A</v>
      </c>
      <c r="G384" s="55">
        <f>+SUM(START:END!G384)</f>
        <v>0</v>
      </c>
      <c r="H384" s="93">
        <f>IF(G384=0,0,I384/G384)</f>
        <v>0</v>
      </c>
      <c r="I384" s="61">
        <f>+SUM(START:END!I384)</f>
        <v>0</v>
      </c>
      <c r="J384" s="55">
        <f>+SUM(START:END!J384)</f>
        <v>39766.36</v>
      </c>
      <c r="K384" s="93">
        <f>IF(J384=0,0,L384/J384)</f>
        <v>0.25677783935970006</v>
      </c>
      <c r="L384" s="61">
        <f>+SUM(START:END!L384)</f>
        <v>10211.120000000003</v>
      </c>
      <c r="M384" s="99" t="e">
        <f>(+J384-D384)/D384</f>
        <v>#N/A</v>
      </c>
      <c r="N384" s="39" t="e">
        <f>L384-F384</f>
        <v>#N/A</v>
      </c>
      <c r="O384" s="55">
        <f>+SUM(START:END!O384)</f>
        <v>41217.94</v>
      </c>
      <c r="P384" s="93">
        <f>IF(O384=0,0,Q384/O384)</f>
        <v>0.27849790649411388</v>
      </c>
      <c r="Q384" s="61">
        <f>+SUM(START:END!Q384)</f>
        <v>11479.109999999997</v>
      </c>
      <c r="R384" s="99">
        <f>IF(O384=0,0,(J384-O384)/O384)</f>
        <v>-3.5217189408301375E-2</v>
      </c>
      <c r="S384" s="39">
        <f>L384-Q384</f>
        <v>-1267.9899999999943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tr">
        <f t="shared" ref="A385" si="173">+B385&amp;C385</f>
        <v>PiècesSous-total Pièces et Acc.</v>
      </c>
      <c r="B385" s="7" t="s">
        <v>98</v>
      </c>
      <c r="C385" s="52" t="s">
        <v>111</v>
      </c>
      <c r="D385" s="122" t="e">
        <f>D380+D383+D384</f>
        <v>#N/A</v>
      </c>
      <c r="E385" s="133" t="e">
        <f>IF(D385&lt;=0,0,F385/D385)</f>
        <v>#N/A</v>
      </c>
      <c r="F385" s="123" t="e">
        <f>F380+F383+F384</f>
        <v>#N/A</v>
      </c>
      <c r="G385" s="124">
        <f>G380+G383+G384</f>
        <v>0</v>
      </c>
      <c r="H385" s="133">
        <f>IF(G385&lt;=0,0,I385/G385)</f>
        <v>0</v>
      </c>
      <c r="I385" s="123">
        <f>I380+I383+I384</f>
        <v>0</v>
      </c>
      <c r="J385" s="124">
        <f>J380+J383+J384</f>
        <v>1093869.6400000004</v>
      </c>
      <c r="K385" s="133">
        <f>IF(J385&lt;=0,0,L385/J385)</f>
        <v>0.26484983164904374</v>
      </c>
      <c r="L385" s="123">
        <f>L380+L383+L384</f>
        <v>289711.19000000018</v>
      </c>
      <c r="M385" s="134" t="e">
        <f>(+J385-D385)/D385</f>
        <v>#N/A</v>
      </c>
      <c r="N385" s="123" t="e">
        <f>L385-F385</f>
        <v>#N/A</v>
      </c>
      <c r="O385" s="124">
        <f>O380+O383+O384</f>
        <v>1124916.76</v>
      </c>
      <c r="P385" s="133">
        <f>IF(O385&lt;=0,0,Q385/O385)</f>
        <v>0.29236365008909626</v>
      </c>
      <c r="Q385" s="123">
        <f>Q380+Q383+Q384</f>
        <v>328884.7699999999</v>
      </c>
      <c r="R385" s="134">
        <f>IF(O385=0,0,(J385-O385)/O385)</f>
        <v>-2.7599482116347565E-2</v>
      </c>
      <c r="S385" s="123">
        <f>L385-Q385</f>
        <v>-39173.579999999725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tr">
        <f t="shared" ref="A386" si="174">+B386&amp;C386</f>
        <v>Pièces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#N/A</v>
      </c>
      <c r="O386" s="40"/>
      <c r="P386" s="7"/>
      <c r="Q386" s="39"/>
      <c r="R386" s="26"/>
      <c r="S386" s="112">
        <f>IF(Q385=0,0,S385/Q385)</f>
        <v>-0.11911034980427868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tr">
        <f t="shared" ref="A387" si="175">+B387&amp;C387</f>
        <v>PiècesPièces recond. MCPA</v>
      </c>
      <c r="B387" s="7" t="s">
        <v>98</v>
      </c>
      <c r="C387" s="26" t="s">
        <v>188</v>
      </c>
      <c r="D387" s="7">
        <f>+SUM(START:END!D387)</f>
        <v>0</v>
      </c>
      <c r="E387" s="7">
        <f>IF(D387=0,0,F387/D387)</f>
        <v>0</v>
      </c>
      <c r="F387" s="25">
        <f>+SUM(START:END!F387)</f>
        <v>0</v>
      </c>
      <c r="G387" s="26">
        <f>+SUM(START:END!G387)</f>
        <v>0</v>
      </c>
      <c r="H387" s="7">
        <f>IF(G387=0,0,I387/G387)</f>
        <v>0</v>
      </c>
      <c r="I387" s="25">
        <f>+SUM(START:END!I387)</f>
        <v>0</v>
      </c>
      <c r="J387" s="40">
        <f>+SUM(START:END!J387)</f>
        <v>0</v>
      </c>
      <c r="K387" s="7">
        <f>IF(J387=0,0,L387/J387)</f>
        <v>0</v>
      </c>
      <c r="L387" s="39">
        <f>+SUM(START:END!L387)</f>
        <v>0</v>
      </c>
      <c r="M387" s="26"/>
      <c r="N387" s="28"/>
      <c r="O387" s="40">
        <f>+SUM(START:END!O387)</f>
        <v>0</v>
      </c>
      <c r="P387" s="7">
        <f>IF(O387=0,0,Q387/O387)</f>
        <v>0</v>
      </c>
      <c r="Q387" s="39">
        <f>+SUM(START:END!Q387)</f>
        <v>0</v>
      </c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260" t="str">
        <f t="shared" ref="A388" si="176">+B388&amp;C388</f>
        <v>PiècesAutostock</v>
      </c>
      <c r="B388" s="7" t="s">
        <v>98</v>
      </c>
      <c r="C388" s="14" t="s">
        <v>112</v>
      </c>
      <c r="D388" s="58" t="e">
        <f>+SUM(START:END!D388)</f>
        <v>#N/A</v>
      </c>
      <c r="E388" s="136" t="e">
        <f>IF(D388=0,0,F388/D388)</f>
        <v>#N/A</v>
      </c>
      <c r="F388" s="61" t="e">
        <f>+SUM(START:END!F388)</f>
        <v>#N/A</v>
      </c>
      <c r="G388" s="103">
        <f>+SUM(START:END!G388)</f>
        <v>0</v>
      </c>
      <c r="H388" s="136">
        <f>IF(G388=0,0,I388/G388)</f>
        <v>0</v>
      </c>
      <c r="I388" s="61">
        <f>+SUM(START:END!I388)</f>
        <v>0</v>
      </c>
      <c r="J388" s="103">
        <f>+SUM(START:END!J388)</f>
        <v>0</v>
      </c>
      <c r="K388" s="136">
        <f>IF(J388=0,0,L388/J388)</f>
        <v>0</v>
      </c>
      <c r="L388" s="61">
        <f>+SUM(START:END!L388)</f>
        <v>0</v>
      </c>
      <c r="M388" s="136" t="e">
        <f>IF(F388=0,0,(+L388-F388)/F388)</f>
        <v>#N/A</v>
      </c>
      <c r="N388" s="61" t="e">
        <f>L388-F388</f>
        <v>#N/A</v>
      </c>
      <c r="O388" s="103">
        <f>+SUM(START:END!O388)</f>
        <v>0</v>
      </c>
      <c r="P388" s="136">
        <f>IF(O388=0,0,Q388/O388)</f>
        <v>0</v>
      </c>
      <c r="Q388" s="61">
        <f>+SUM(START:END!Q388)</f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tr">
        <f t="shared" ref="A389" si="177">+B389&amp;C389</f>
        <v>Pièces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tr">
        <f t="shared" ref="A390" si="178">+B390&amp;C390</f>
        <v>PiècesTotal Dépt. Pièces</v>
      </c>
      <c r="B390" s="7" t="s">
        <v>98</v>
      </c>
      <c r="C390" s="264" t="s">
        <v>113</v>
      </c>
      <c r="D390" s="41" t="e">
        <f>D385+D388+D387</f>
        <v>#N/A</v>
      </c>
      <c r="E390" s="42" t="e">
        <f>IF(D390&lt;=0,0,F390/D390)</f>
        <v>#N/A</v>
      </c>
      <c r="F390" s="43" t="e">
        <f>F385+F388+F387</f>
        <v>#N/A</v>
      </c>
      <c r="G390" s="44">
        <f>G385+G388+G387</f>
        <v>0</v>
      </c>
      <c r="H390" s="42">
        <f>IF(G390&lt;=0,0,I390/G390)</f>
        <v>0</v>
      </c>
      <c r="I390" s="43">
        <f>I385+I388+I387</f>
        <v>0</v>
      </c>
      <c r="J390" s="44">
        <f>J385+J388+J387</f>
        <v>1093869.6400000004</v>
      </c>
      <c r="K390" s="137">
        <f>IF(J390&lt;=0,0,L390/J390)</f>
        <v>0.26484983164904374</v>
      </c>
      <c r="L390" s="43">
        <f>L385+L388+L387</f>
        <v>289711.19000000018</v>
      </c>
      <c r="M390" s="44" t="e">
        <f>(+J390-D390)/D390</f>
        <v>#N/A</v>
      </c>
      <c r="N390" s="43" t="e">
        <f>L390-F390</f>
        <v>#N/A</v>
      </c>
      <c r="O390" s="44">
        <f>O385+O388+O387</f>
        <v>1124916.76</v>
      </c>
      <c r="P390" s="137">
        <f>IF(O390&lt;=0,0,Q390/O390)</f>
        <v>0.29236365008909626</v>
      </c>
      <c r="Q390" s="43">
        <f>Q385+Q388+Q387</f>
        <v>328884.7699999999</v>
      </c>
      <c r="R390" s="129">
        <f>IF(O390=0,0,(J390-O390)/O390)</f>
        <v>-2.7599482116347565E-2</v>
      </c>
      <c r="S390" s="43">
        <f>L390-Q390</f>
        <v>-39173.579999999725</v>
      </c>
      <c r="T390" s="7"/>
      <c r="U390" s="55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tr">
        <f t="shared" ref="A391" si="179">+B391&amp;C391</f>
        <v>Pièces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#N/A</v>
      </c>
      <c r="O391" s="47"/>
      <c r="P391" s="265"/>
      <c r="Q391" s="267"/>
      <c r="R391" s="48"/>
      <c r="S391" s="267">
        <f>IF(Q390=0,0,S390/Q390)</f>
        <v>-0.11911034980427868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tr">
        <f t="shared" ref="A392" si="180">+B392&amp;C392</f>
        <v>Pièces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tr">
        <f t="shared" ref="A393" si="181">+B393&amp;C393</f>
        <v>PiècesDEPENSES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tr">
        <f t="shared" ref="A394" si="182">+B394&amp;C394</f>
        <v>PiècesSalaires cadres</v>
      </c>
      <c r="B394" s="7" t="s">
        <v>98</v>
      </c>
      <c r="C394" s="271" t="s">
        <v>40</v>
      </c>
      <c r="D394" s="7"/>
      <c r="E394" s="7"/>
      <c r="F394" s="19" t="e">
        <f>+SUM(START:END!F394)</f>
        <v>#N/A</v>
      </c>
      <c r="G394" s="26"/>
      <c r="H394" s="7"/>
      <c r="I394" s="19">
        <f>+SUM(START:END!I394)</f>
        <v>0</v>
      </c>
      <c r="J394" s="26"/>
      <c r="K394" s="7"/>
      <c r="L394" s="39">
        <f>+SUM(START:END!L394)</f>
        <v>22830.079999999998</v>
      </c>
      <c r="M394" s="26"/>
      <c r="N394" s="21" t="e">
        <f t="shared" ref="N394:N404" si="183">L394-F394</f>
        <v>#N/A</v>
      </c>
      <c r="O394" s="26"/>
      <c r="P394" s="7"/>
      <c r="Q394" s="39">
        <f>+SUM(START:END!Q394)</f>
        <v>2585.7299999999996</v>
      </c>
      <c r="R394" s="26"/>
      <c r="S394" s="39">
        <f t="shared" ref="S394:S397" si="184">L394-Q394</f>
        <v>20244.349999999999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tr">
        <f t="shared" ref="A395" si="185">+B395&amp;C395</f>
        <v>PiècesSalaires commis</v>
      </c>
      <c r="B395" s="7" t="s">
        <v>98</v>
      </c>
      <c r="C395" s="272" t="s">
        <v>41</v>
      </c>
      <c r="D395" s="54"/>
      <c r="E395" s="7"/>
      <c r="F395" s="31" t="e">
        <f>+SUM(START:END!F395)</f>
        <v>#N/A</v>
      </c>
      <c r="G395" s="56"/>
      <c r="H395" s="7"/>
      <c r="I395" s="31">
        <f>+SUM(START:END!I395)</f>
        <v>0</v>
      </c>
      <c r="J395" s="26"/>
      <c r="K395" s="7"/>
      <c r="L395" s="39">
        <f>+SUM(START:END!L395)</f>
        <v>7280.4000000000015</v>
      </c>
      <c r="M395" s="26"/>
      <c r="N395" s="21" t="e">
        <f t="shared" si="183"/>
        <v>#N/A</v>
      </c>
      <c r="O395" s="26"/>
      <c r="P395" s="7"/>
      <c r="Q395" s="39">
        <f>+SUM(START:END!Q395)</f>
        <v>8485.7799999999988</v>
      </c>
      <c r="R395" s="26"/>
      <c r="S395" s="39">
        <f t="shared" si="184"/>
        <v>-1205.3799999999974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tr">
        <f t="shared" ref="A396" si="186">+B396&amp;C396</f>
        <v>PiècesSalaires autres</v>
      </c>
      <c r="B396" s="7" t="s">
        <v>98</v>
      </c>
      <c r="C396" s="271" t="s">
        <v>42</v>
      </c>
      <c r="D396" s="68"/>
      <c r="E396" s="69"/>
      <c r="F396" s="19" t="e">
        <f>+SUM(START:END!F396)</f>
        <v>#N/A</v>
      </c>
      <c r="G396" s="70"/>
      <c r="H396" s="69"/>
      <c r="I396" s="19">
        <f>+SUM(START:END!I396)</f>
        <v>0</v>
      </c>
      <c r="J396" s="71"/>
      <c r="K396" s="69"/>
      <c r="L396" s="72">
        <f>+SUM(START:END!L396)</f>
        <v>42474.61</v>
      </c>
      <c r="M396" s="71"/>
      <c r="N396" s="36" t="e">
        <f t="shared" si="183"/>
        <v>#N/A</v>
      </c>
      <c r="O396" s="71"/>
      <c r="P396" s="69"/>
      <c r="Q396" s="72">
        <f>+SUM(START:END!Q396)</f>
        <v>58997.91</v>
      </c>
      <c r="R396" s="71"/>
      <c r="S396" s="72">
        <f t="shared" si="184"/>
        <v>-16523.300000000003</v>
      </c>
      <c r="T396" s="7"/>
      <c r="U396" s="334"/>
      <c r="V396" s="334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260" t="str">
        <f t="shared" ref="A397" si="187">+B397&amp;C397</f>
        <v>PiècesSalaires spécialistes</v>
      </c>
      <c r="B397" s="7" t="s">
        <v>98</v>
      </c>
      <c r="C397" s="271" t="s">
        <v>43</v>
      </c>
      <c r="D397" s="54"/>
      <c r="E397" s="7"/>
      <c r="F397" s="19" t="e">
        <f>+SUM(START:END!F397)</f>
        <v>#N/A</v>
      </c>
      <c r="G397" s="56"/>
      <c r="H397" s="7"/>
      <c r="I397" s="19">
        <f>+SUM(START:END!I397)</f>
        <v>0</v>
      </c>
      <c r="J397" s="26"/>
      <c r="K397" s="7"/>
      <c r="L397" s="39">
        <f>+SUM(START:END!L397)</f>
        <v>0</v>
      </c>
      <c r="M397" s="26"/>
      <c r="N397" s="21" t="e">
        <f t="shared" si="183"/>
        <v>#N/A</v>
      </c>
      <c r="O397" s="26"/>
      <c r="P397" s="7"/>
      <c r="Q397" s="39">
        <f>+SUM(START:END!Q397)</f>
        <v>0</v>
      </c>
      <c r="R397" s="26"/>
      <c r="S397" s="39">
        <f t="shared" si="184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260" t="str">
        <f t="shared" ref="A398" si="188">+B398&amp;C398</f>
        <v>Pièces[...]</v>
      </c>
      <c r="B398" s="7" t="s">
        <v>98</v>
      </c>
      <c r="C398" s="26" t="s">
        <v>19</v>
      </c>
      <c r="D398" s="54"/>
      <c r="E398" s="7"/>
      <c r="F398" s="19" t="e">
        <f>+SUM(START:END!F398)</f>
        <v>#N/A</v>
      </c>
      <c r="G398" s="56"/>
      <c r="H398" s="7"/>
      <c r="I398" s="19">
        <f>+SUM(START:END!I398)</f>
        <v>0</v>
      </c>
      <c r="J398" s="26"/>
      <c r="K398" s="7"/>
      <c r="L398" s="39">
        <f>+SUM(START:END!L398)</f>
        <v>0</v>
      </c>
      <c r="M398" s="26"/>
      <c r="N398" s="21" t="e">
        <f t="shared" si="183"/>
        <v>#N/A</v>
      </c>
      <c r="O398" s="26"/>
      <c r="P398" s="7"/>
      <c r="Q398" s="39">
        <f>+SUM(START:END!Q398)</f>
        <v>0</v>
      </c>
      <c r="R398" s="26"/>
      <c r="S398" s="39">
        <f>L398-Q398</f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260" t="str">
        <f t="shared" ref="A399" si="189">+B399&amp;C399</f>
        <v>Pièces[...]</v>
      </c>
      <c r="B399" s="7" t="s">
        <v>98</v>
      </c>
      <c r="C399" s="26" t="s">
        <v>19</v>
      </c>
      <c r="D399" s="54"/>
      <c r="E399" s="7"/>
      <c r="F399" s="19" t="e">
        <f>+SUM(START:END!F399)</f>
        <v>#N/A</v>
      </c>
      <c r="G399" s="56"/>
      <c r="H399" s="7"/>
      <c r="I399" s="19">
        <f>+SUM(START:END!I399)</f>
        <v>0</v>
      </c>
      <c r="J399" s="26"/>
      <c r="K399" s="7"/>
      <c r="L399" s="39">
        <f>+SUM(START:END!L399)</f>
        <v>0</v>
      </c>
      <c r="M399" s="26"/>
      <c r="N399" s="21" t="e">
        <f t="shared" si="183"/>
        <v>#N/A</v>
      </c>
      <c r="O399" s="26"/>
      <c r="P399" s="7"/>
      <c r="Q399" s="39">
        <f>+SUM(START:END!Q399)</f>
        <v>0</v>
      </c>
      <c r="R399" s="26"/>
      <c r="S399" s="39">
        <f>L399-Q399</f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>
      <c r="A400" s="260" t="str">
        <f t="shared" ref="A400" si="190">+B400&amp;C400</f>
        <v>Pièces[...]</v>
      </c>
      <c r="B400" s="7" t="s">
        <v>98</v>
      </c>
      <c r="C400" s="26" t="s">
        <v>19</v>
      </c>
      <c r="D400" s="54"/>
      <c r="E400" s="7"/>
      <c r="F400" s="19" t="e">
        <f>+SUM(START:END!F400)</f>
        <v>#N/A</v>
      </c>
      <c r="G400" s="56"/>
      <c r="H400" s="7"/>
      <c r="I400" s="19">
        <f>+SUM(START:END!I400)</f>
        <v>0</v>
      </c>
      <c r="J400" s="26"/>
      <c r="K400" s="7"/>
      <c r="L400" s="39">
        <f>+SUM(START:END!L400)</f>
        <v>0</v>
      </c>
      <c r="M400" s="26"/>
      <c r="N400" s="21" t="e">
        <f t="shared" si="183"/>
        <v>#N/A</v>
      </c>
      <c r="O400" s="26"/>
      <c r="P400" s="7"/>
      <c r="Q400" s="39">
        <f>+SUM(START:END!Q400)</f>
        <v>0</v>
      </c>
      <c r="R400" s="26"/>
      <c r="S400" s="39">
        <f>L400-Q400</f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tr">
        <f t="shared" ref="A401" si="191">+B401&amp;C401</f>
        <v>PiècesSalaires en absences</v>
      </c>
      <c r="B401" s="7" t="s">
        <v>98</v>
      </c>
      <c r="C401" s="272" t="s">
        <v>44</v>
      </c>
      <c r="D401" s="54"/>
      <c r="E401" s="7"/>
      <c r="F401" s="31" t="e">
        <f>+SUM(START:END!F401)</f>
        <v>#N/A</v>
      </c>
      <c r="G401" s="56"/>
      <c r="H401" s="7"/>
      <c r="I401" s="31">
        <f>+SUM(START:END!I401)</f>
        <v>0</v>
      </c>
      <c r="J401" s="26"/>
      <c r="K401" s="7"/>
      <c r="L401" s="39">
        <f>+SUM(START:END!L401)</f>
        <v>7780.9600000000009</v>
      </c>
      <c r="M401" s="26"/>
      <c r="N401" s="21" t="e">
        <f t="shared" si="183"/>
        <v>#N/A</v>
      </c>
      <c r="O401" s="26"/>
      <c r="P401" s="7"/>
      <c r="Q401" s="39">
        <f>+SUM(START:END!Q401)</f>
        <v>6517.2999999999993</v>
      </c>
      <c r="R401" s="26"/>
      <c r="S401" s="39">
        <f t="shared" ref="S401:S404" si="192">L401-Q401</f>
        <v>1263.6600000000017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tr">
        <f t="shared" ref="A402" si="193">+B402&amp;C402</f>
        <v>PiècesDéduction à la source</v>
      </c>
      <c r="B402" s="7" t="s">
        <v>98</v>
      </c>
      <c r="C402" s="271" t="s">
        <v>45</v>
      </c>
      <c r="D402" s="68"/>
      <c r="E402" s="69"/>
      <c r="F402" s="19" t="e">
        <f>+SUM(START:END!F402)</f>
        <v>#N/A</v>
      </c>
      <c r="G402" s="70"/>
      <c r="H402" s="69"/>
      <c r="I402" s="19">
        <f>+SUM(START:END!I402)</f>
        <v>0</v>
      </c>
      <c r="J402" s="71"/>
      <c r="K402" s="69"/>
      <c r="L402" s="72">
        <f>+SUM(START:END!L402)</f>
        <v>10438.84</v>
      </c>
      <c r="M402" s="71"/>
      <c r="N402" s="36" t="e">
        <f t="shared" si="183"/>
        <v>#N/A</v>
      </c>
      <c r="O402" s="71"/>
      <c r="P402" s="69"/>
      <c r="Q402" s="72">
        <f>+SUM(START:END!Q402)</f>
        <v>8603.119999999999</v>
      </c>
      <c r="R402" s="71"/>
      <c r="S402" s="72">
        <f t="shared" si="192"/>
        <v>1835.7200000000012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tr">
        <f t="shared" ref="A403" si="194">+B403&amp;C403</f>
        <v>PiècesBénéfices marginaux</v>
      </c>
      <c r="B403" s="7" t="s">
        <v>98</v>
      </c>
      <c r="C403" s="271" t="s">
        <v>46</v>
      </c>
      <c r="D403" s="54"/>
      <c r="E403" s="7"/>
      <c r="F403" s="19" t="e">
        <f>+SUM(START:END!F403)</f>
        <v>#N/A</v>
      </c>
      <c r="G403" s="56"/>
      <c r="H403" s="7"/>
      <c r="I403" s="19">
        <f>+SUM(START:END!I403)</f>
        <v>0</v>
      </c>
      <c r="J403" s="26"/>
      <c r="K403" s="7"/>
      <c r="L403" s="39">
        <f>+SUM(START:END!L403)</f>
        <v>1934.2300000000005</v>
      </c>
      <c r="M403" s="26"/>
      <c r="N403" s="21" t="e">
        <f t="shared" si="183"/>
        <v>#N/A</v>
      </c>
      <c r="O403" s="26"/>
      <c r="P403" s="7"/>
      <c r="Q403" s="39">
        <f>+SUM(START:END!Q403)</f>
        <v>3758.6800000000003</v>
      </c>
      <c r="R403" s="26"/>
      <c r="S403" s="39">
        <f t="shared" si="192"/>
        <v>-1824.4499999999998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tr">
        <f t="shared" ref="A404" si="195">+B404&amp;C404</f>
        <v>PiècesCsst</v>
      </c>
      <c r="B404" s="7" t="s">
        <v>98</v>
      </c>
      <c r="C404" s="271" t="s">
        <v>47</v>
      </c>
      <c r="D404" s="54"/>
      <c r="E404" s="7"/>
      <c r="F404" s="19" t="e">
        <f>+SUM(START:END!F404)</f>
        <v>#N/A</v>
      </c>
      <c r="G404" s="56"/>
      <c r="H404" s="7"/>
      <c r="I404" s="19">
        <f>+SUM(START:END!I404)</f>
        <v>0</v>
      </c>
      <c r="J404" s="26"/>
      <c r="K404" s="7"/>
      <c r="L404" s="39">
        <f>+SUM(START:END!L404)</f>
        <v>3705.5499999999993</v>
      </c>
      <c r="M404" s="26"/>
      <c r="N404" s="21" t="e">
        <f t="shared" si="183"/>
        <v>#N/A</v>
      </c>
      <c r="O404" s="26"/>
      <c r="P404" s="7"/>
      <c r="Q404" s="39">
        <f>+SUM(START:END!Q404)</f>
        <v>526.75</v>
      </c>
      <c r="R404" s="26"/>
      <c r="S404" s="39">
        <f t="shared" si="192"/>
        <v>3178.7999999999993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>
      <c r="A405" s="260" t="str">
        <f t="shared" ref="A405" si="196">+B405&amp;C405</f>
        <v>Pièces[...]</v>
      </c>
      <c r="B405" s="7" t="s">
        <v>98</v>
      </c>
      <c r="C405" s="26" t="s">
        <v>19</v>
      </c>
      <c r="D405" s="57"/>
      <c r="E405" s="73"/>
      <c r="F405" s="19" t="e">
        <f>+SUM(START:END!F405)</f>
        <v>#N/A</v>
      </c>
      <c r="G405" s="59"/>
      <c r="H405" s="73"/>
      <c r="I405" s="19">
        <f>+SUM(START:END!I405)</f>
        <v>0</v>
      </c>
      <c r="J405" s="14"/>
      <c r="K405" s="73"/>
      <c r="L405" s="39">
        <f>+SUM(START:END!L405)</f>
        <v>0</v>
      </c>
      <c r="M405" s="14"/>
      <c r="N405" s="61" t="e">
        <f>L405-F405</f>
        <v>#N/A</v>
      </c>
      <c r="O405" s="14"/>
      <c r="P405" s="73"/>
      <c r="Q405" s="39">
        <f>+SUM(START:END!Q405)</f>
        <v>0</v>
      </c>
      <c r="R405" s="14"/>
      <c r="S405" s="61">
        <f>L405-Q405</f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tr">
        <f t="shared" ref="A406" si="197">+B406&amp;C406</f>
        <v>PiècesTOTAL PERSONNEL</v>
      </c>
      <c r="B406" s="7" t="s">
        <v>98</v>
      </c>
      <c r="C406" s="139" t="s">
        <v>48</v>
      </c>
      <c r="D406" s="62" t="s">
        <v>38</v>
      </c>
      <c r="E406" s="63" t="e">
        <f>F406/F$314</f>
        <v>#N/A</v>
      </c>
      <c r="F406" s="64" t="e">
        <f>+SUM(F394:F405)</f>
        <v>#N/A</v>
      </c>
      <c r="G406" s="65" t="s">
        <v>38</v>
      </c>
      <c r="H406" s="63" t="e">
        <f>I406/I$314</f>
        <v>#DIV/0!</v>
      </c>
      <c r="I406" s="64">
        <f>+SUM(I394:I405)</f>
        <v>0</v>
      </c>
      <c r="J406" s="65" t="s">
        <v>38</v>
      </c>
      <c r="K406" s="63" t="e">
        <f>L406/L$314</f>
        <v>#DIV/0!</v>
      </c>
      <c r="L406" s="64">
        <f>+SUM(L394:L405)</f>
        <v>96444.67</v>
      </c>
      <c r="M406" s="66"/>
      <c r="N406" s="64" t="e">
        <f t="shared" ref="N406:N424" si="198">L406-F406</f>
        <v>#N/A</v>
      </c>
      <c r="O406" s="65" t="s">
        <v>38</v>
      </c>
      <c r="P406" s="63" t="e">
        <f>Q406/Q$314</f>
        <v>#DIV/0!</v>
      </c>
      <c r="Q406" s="64">
        <f>+SUM(Q394:Q405)</f>
        <v>89475.26999999999</v>
      </c>
      <c r="R406" s="67"/>
      <c r="S406" s="64">
        <f t="shared" ref="S406:S412" si="199">L406-Q406</f>
        <v>6969.4000000000087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tr">
        <f t="shared" ref="A407" si="200">+B407&amp;C407</f>
        <v>PiècesPublicité 2</v>
      </c>
      <c r="B407" s="7" t="s">
        <v>98</v>
      </c>
      <c r="C407" s="329" t="s">
        <v>49</v>
      </c>
      <c r="D407" s="54"/>
      <c r="E407" s="7"/>
      <c r="F407" s="19" t="e">
        <f>+SUM(START:END!F407)</f>
        <v>#N/A</v>
      </c>
      <c r="G407" s="56"/>
      <c r="H407" s="7"/>
      <c r="I407" s="19">
        <f>+SUM(START:END!I407)</f>
        <v>0</v>
      </c>
      <c r="J407" s="26"/>
      <c r="K407" s="7"/>
      <c r="L407" s="39">
        <f>+SUM(START:END!L407)</f>
        <v>2853.98</v>
      </c>
      <c r="M407" s="26"/>
      <c r="N407" s="39" t="e">
        <f t="shared" si="198"/>
        <v>#N/A</v>
      </c>
      <c r="O407" s="26"/>
      <c r="P407" s="7"/>
      <c r="Q407" s="39">
        <f>+SUM(START:END!Q407)</f>
        <v>3777.0599999999995</v>
      </c>
      <c r="R407" s="26"/>
      <c r="S407" s="39">
        <f t="shared" si="199"/>
        <v>-923.07999999999947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tr">
        <f t="shared" ref="A408" si="201">+B408&amp;C408</f>
        <v>PiècesService gratuit 2</v>
      </c>
      <c r="B408" s="7" t="s">
        <v>98</v>
      </c>
      <c r="C408" s="271" t="s">
        <v>50</v>
      </c>
      <c r="D408" s="54"/>
      <c r="E408" s="7"/>
      <c r="F408" s="19" t="e">
        <f>+SUM(START:END!F408)</f>
        <v>#N/A</v>
      </c>
      <c r="G408" s="56"/>
      <c r="H408" s="7"/>
      <c r="I408" s="19">
        <f>+SUM(START:END!I408)</f>
        <v>0</v>
      </c>
      <c r="J408" s="26"/>
      <c r="K408" s="7"/>
      <c r="L408" s="39">
        <f>+SUM(START:END!L408)</f>
        <v>53.47</v>
      </c>
      <c r="M408" s="26"/>
      <c r="N408" s="39" t="e">
        <f t="shared" si="198"/>
        <v>#N/A</v>
      </c>
      <c r="O408" s="26"/>
      <c r="P408" s="7"/>
      <c r="Q408" s="39">
        <f>+SUM(START:END!Q408)</f>
        <v>1210.71</v>
      </c>
      <c r="R408" s="26"/>
      <c r="S408" s="39">
        <f t="shared" si="199"/>
        <v>-1157.24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tr">
        <f t="shared" ref="A409" si="202">+B409&amp;C409</f>
        <v>PiècesFrais véhicules de cie</v>
      </c>
      <c r="B409" s="7" t="s">
        <v>98</v>
      </c>
      <c r="C409" s="272" t="s">
        <v>51</v>
      </c>
      <c r="D409" s="57"/>
      <c r="E409" s="73"/>
      <c r="F409" s="31" t="e">
        <f>+SUM(START:END!F409)</f>
        <v>#N/A</v>
      </c>
      <c r="G409" s="59"/>
      <c r="H409" s="73"/>
      <c r="I409" s="31">
        <f>+SUM(START:END!I409)</f>
        <v>0</v>
      </c>
      <c r="J409" s="14"/>
      <c r="K409" s="73"/>
      <c r="L409" s="61">
        <f>+SUM(START:END!L409)</f>
        <v>5832.4199999999983</v>
      </c>
      <c r="M409" s="14"/>
      <c r="N409" s="61" t="e">
        <f t="shared" si="198"/>
        <v>#N/A</v>
      </c>
      <c r="O409" s="14"/>
      <c r="P409" s="73"/>
      <c r="Q409" s="61">
        <f>+SUM(START:END!Q409)</f>
        <v>7768.8099999999977</v>
      </c>
      <c r="R409" s="14"/>
      <c r="S409" s="61">
        <f t="shared" si="199"/>
        <v>-1936.3899999999994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tr">
        <f t="shared" ref="A410" si="203">+B410&amp;C410</f>
        <v>PiècesInformatique</v>
      </c>
      <c r="B410" s="7" t="s">
        <v>98</v>
      </c>
      <c r="C410" s="271" t="s">
        <v>52</v>
      </c>
      <c r="D410" s="54"/>
      <c r="E410" s="7"/>
      <c r="F410" s="19" t="e">
        <f>+SUM(START:END!F410)</f>
        <v>#N/A</v>
      </c>
      <c r="G410" s="56"/>
      <c r="H410" s="7"/>
      <c r="I410" s="19">
        <f>+SUM(START:END!I410)</f>
        <v>0</v>
      </c>
      <c r="J410" s="26"/>
      <c r="K410" s="7"/>
      <c r="L410" s="39">
        <f>+SUM(START:END!L410)</f>
        <v>7059.58</v>
      </c>
      <c r="M410" s="26"/>
      <c r="N410" s="39" t="e">
        <f t="shared" si="198"/>
        <v>#N/A</v>
      </c>
      <c r="O410" s="26"/>
      <c r="P410" s="7"/>
      <c r="Q410" s="39">
        <f>+SUM(START:END!Q410)</f>
        <v>5319.8399999999983</v>
      </c>
      <c r="R410" s="26"/>
      <c r="S410" s="39">
        <f t="shared" si="199"/>
        <v>1739.7400000000016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tr">
        <f t="shared" ref="A411" si="204">+B411&amp;C411</f>
        <v>PiècesFrais de déplacement</v>
      </c>
      <c r="B411" s="7" t="s">
        <v>98</v>
      </c>
      <c r="C411" s="271" t="s">
        <v>53</v>
      </c>
      <c r="D411" s="54"/>
      <c r="E411" s="7"/>
      <c r="F411" s="19" t="e">
        <f>+SUM(START:END!F411)</f>
        <v>#N/A</v>
      </c>
      <c r="G411" s="56"/>
      <c r="H411" s="7"/>
      <c r="I411" s="19">
        <f>+SUM(START:END!I411)</f>
        <v>0</v>
      </c>
      <c r="J411" s="26"/>
      <c r="K411" s="7"/>
      <c r="L411" s="39">
        <f>+SUM(START:END!L411)</f>
        <v>210.22000000000025</v>
      </c>
      <c r="M411" s="26"/>
      <c r="N411" s="39" t="e">
        <f t="shared" si="198"/>
        <v>#N/A</v>
      </c>
      <c r="O411" s="26"/>
      <c r="P411" s="7"/>
      <c r="Q411" s="39">
        <f>+SUM(START:END!Q411)</f>
        <v>3894.880000000001</v>
      </c>
      <c r="R411" s="26"/>
      <c r="S411" s="39">
        <f t="shared" si="199"/>
        <v>-3684.6600000000008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tr">
        <f t="shared" ref="A412" si="205">+B412&amp;C412</f>
        <v>PiècesServices extérieurs</v>
      </c>
      <c r="B412" s="7" t="s">
        <v>98</v>
      </c>
      <c r="C412" s="272" t="s">
        <v>54</v>
      </c>
      <c r="D412" s="57"/>
      <c r="E412" s="73"/>
      <c r="F412" s="31" t="e">
        <f>+SUM(START:END!F412)</f>
        <v>#N/A</v>
      </c>
      <c r="G412" s="59"/>
      <c r="H412" s="73"/>
      <c r="I412" s="31">
        <f>+SUM(START:END!I412)</f>
        <v>0</v>
      </c>
      <c r="J412" s="14"/>
      <c r="K412" s="73"/>
      <c r="L412" s="61">
        <f>+SUM(START:END!L412)</f>
        <v>3870.4400000000005</v>
      </c>
      <c r="M412" s="14"/>
      <c r="N412" s="61" t="e">
        <f t="shared" si="198"/>
        <v>#N/A</v>
      </c>
      <c r="O412" s="14"/>
      <c r="P412" s="73"/>
      <c r="Q412" s="61">
        <f>+SUM(START:END!Q412)</f>
        <v>7492.3999999999987</v>
      </c>
      <c r="R412" s="14"/>
      <c r="S412" s="61">
        <f t="shared" si="199"/>
        <v>-3621.9599999999982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tr">
        <f t="shared" ref="A413" si="206">+B413&amp;C413</f>
        <v>PiècesFournitures d'atelier</v>
      </c>
      <c r="B413" s="7" t="s">
        <v>98</v>
      </c>
      <c r="C413" s="271" t="s">
        <v>93</v>
      </c>
      <c r="D413" s="54"/>
      <c r="E413" s="7"/>
      <c r="F413" s="19">
        <f>+SUM(START:END!F413)</f>
        <v>0</v>
      </c>
      <c r="G413" s="56"/>
      <c r="H413" s="7"/>
      <c r="I413" s="19">
        <f>+SUM(START:END!I413)</f>
        <v>0</v>
      </c>
      <c r="J413" s="26"/>
      <c r="K413" s="7"/>
      <c r="L413" s="39">
        <f>+SUM(START:END!L413)</f>
        <v>0</v>
      </c>
      <c r="M413" s="26"/>
      <c r="N413" s="39">
        <f t="shared" si="198"/>
        <v>0</v>
      </c>
      <c r="O413" s="26"/>
      <c r="P413" s="7"/>
      <c r="Q413" s="39">
        <f>+SUM(START:END!Q413)</f>
        <v>0</v>
      </c>
      <c r="R413" s="26"/>
      <c r="S413" s="39">
        <f>L413-Q413</f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tr">
        <f t="shared" ref="A414" si="207">+B414&amp;C414</f>
        <v>PiècesFournitures autres</v>
      </c>
      <c r="B414" s="7" t="s">
        <v>98</v>
      </c>
      <c r="C414" s="271" t="s">
        <v>55</v>
      </c>
      <c r="D414" s="54"/>
      <c r="E414" s="7"/>
      <c r="F414" s="19" t="e">
        <f>+SUM(START:END!F414)</f>
        <v>#N/A</v>
      </c>
      <c r="G414" s="56"/>
      <c r="H414" s="7"/>
      <c r="I414" s="19">
        <f>+SUM(START:END!I414)</f>
        <v>0</v>
      </c>
      <c r="J414" s="26"/>
      <c r="K414" s="7"/>
      <c r="L414" s="39">
        <f>+SUM(START:END!L414)</f>
        <v>512.54999999999995</v>
      </c>
      <c r="M414" s="26"/>
      <c r="N414" s="39" t="e">
        <f t="shared" si="198"/>
        <v>#N/A</v>
      </c>
      <c r="O414" s="26"/>
      <c r="P414" s="7"/>
      <c r="Q414" s="39">
        <f>+SUM(START:END!Q414)</f>
        <v>218.08999999999992</v>
      </c>
      <c r="R414" s="26"/>
      <c r="S414" s="39">
        <f t="shared" ref="S414:S419" si="208">L414-Q414</f>
        <v>294.46000000000004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tr">
        <f t="shared" ref="A415" si="209">+B415&amp;C415</f>
        <v>PiècesUniformes</v>
      </c>
      <c r="B415" s="7" t="s">
        <v>98</v>
      </c>
      <c r="C415" s="271" t="s">
        <v>56</v>
      </c>
      <c r="D415" s="54"/>
      <c r="E415" s="7"/>
      <c r="F415" s="19" t="e">
        <f>+SUM(START:END!F415)</f>
        <v>#N/A</v>
      </c>
      <c r="G415" s="56"/>
      <c r="H415" s="7"/>
      <c r="I415" s="19">
        <f>+SUM(START:END!I415)</f>
        <v>0</v>
      </c>
      <c r="J415" s="26"/>
      <c r="K415" s="7"/>
      <c r="L415" s="39">
        <f>+SUM(START:END!L415)</f>
        <v>0</v>
      </c>
      <c r="M415" s="26"/>
      <c r="N415" s="39" t="e">
        <f t="shared" si="198"/>
        <v>#N/A</v>
      </c>
      <c r="O415" s="26"/>
      <c r="P415" s="7"/>
      <c r="Q415" s="39">
        <f>+SUM(START:END!Q415)</f>
        <v>0</v>
      </c>
      <c r="R415" s="26"/>
      <c r="S415" s="39">
        <f t="shared" si="208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tr">
        <f t="shared" ref="A416" si="210">+B416&amp;C416</f>
        <v>PiècesPapeterie</v>
      </c>
      <c r="B416" s="7" t="s">
        <v>98</v>
      </c>
      <c r="C416" s="271" t="s">
        <v>57</v>
      </c>
      <c r="D416" s="54"/>
      <c r="E416" s="7"/>
      <c r="F416" s="19" t="e">
        <f>+SUM(START:END!F416)</f>
        <v>#N/A</v>
      </c>
      <c r="G416" s="56"/>
      <c r="H416" s="7"/>
      <c r="I416" s="19">
        <f>+SUM(START:END!I416)</f>
        <v>0</v>
      </c>
      <c r="J416" s="26"/>
      <c r="K416" s="7"/>
      <c r="L416" s="39">
        <f>+SUM(START:END!L416)</f>
        <v>711.79999999999973</v>
      </c>
      <c r="M416" s="26"/>
      <c r="N416" s="39" t="e">
        <f t="shared" si="198"/>
        <v>#N/A</v>
      </c>
      <c r="O416" s="26"/>
      <c r="P416" s="7"/>
      <c r="Q416" s="39">
        <f>+SUM(START:END!Q416)</f>
        <v>1622.9199999999996</v>
      </c>
      <c r="R416" s="26"/>
      <c r="S416" s="39">
        <f t="shared" si="208"/>
        <v>-911.11999999999989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tr">
        <f t="shared" ref="A417" si="211">+B417&amp;C417</f>
        <v>PiècesTéléphone</v>
      </c>
      <c r="B417" s="7" t="s">
        <v>98</v>
      </c>
      <c r="C417" s="271" t="s">
        <v>58</v>
      </c>
      <c r="D417" s="54"/>
      <c r="E417" s="7"/>
      <c r="F417" s="19" t="e">
        <f>+SUM(START:END!F417)</f>
        <v>#N/A</v>
      </c>
      <c r="G417" s="56"/>
      <c r="H417" s="7"/>
      <c r="I417" s="19">
        <f>+SUM(START:END!I417)</f>
        <v>0</v>
      </c>
      <c r="J417" s="26"/>
      <c r="K417" s="7"/>
      <c r="L417" s="39">
        <f>+SUM(START:END!L417)</f>
        <v>645.2299999999999</v>
      </c>
      <c r="M417" s="26"/>
      <c r="N417" s="39" t="e">
        <f t="shared" si="198"/>
        <v>#N/A</v>
      </c>
      <c r="O417" s="26"/>
      <c r="P417" s="7"/>
      <c r="Q417" s="39">
        <f>+SUM(START:END!Q417)</f>
        <v>718.82000000000016</v>
      </c>
      <c r="R417" s="26"/>
      <c r="S417" s="39">
        <f t="shared" si="208"/>
        <v>-73.590000000000259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tr">
        <f t="shared" ref="A418" si="212">+B418&amp;C418</f>
        <v>PiècesFrais postaux</v>
      </c>
      <c r="B418" s="7" t="s">
        <v>98</v>
      </c>
      <c r="C418" s="271" t="s">
        <v>59</v>
      </c>
      <c r="D418" s="54"/>
      <c r="E418" s="7"/>
      <c r="F418" s="19" t="e">
        <f>+SUM(START:END!F418)</f>
        <v>#N/A</v>
      </c>
      <c r="G418" s="56"/>
      <c r="H418" s="7"/>
      <c r="I418" s="19">
        <f>+SUM(START:END!I418)</f>
        <v>0</v>
      </c>
      <c r="J418" s="26"/>
      <c r="K418" s="7"/>
      <c r="L418" s="39">
        <f>+SUM(START:END!L418)</f>
        <v>2997.96</v>
      </c>
      <c r="M418" s="26"/>
      <c r="N418" s="39" t="e">
        <f t="shared" si="198"/>
        <v>#N/A</v>
      </c>
      <c r="O418" s="26"/>
      <c r="P418" s="7"/>
      <c r="Q418" s="39">
        <f>+SUM(START:END!Q418)</f>
        <v>2794.1</v>
      </c>
      <c r="R418" s="26"/>
      <c r="S418" s="39">
        <f t="shared" si="208"/>
        <v>203.86000000000013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tr">
        <f t="shared" ref="A419" si="213">+B419&amp;C419</f>
        <v>PiècesDivers</v>
      </c>
      <c r="B419" s="7" t="s">
        <v>98</v>
      </c>
      <c r="C419" s="271" t="s">
        <v>60</v>
      </c>
      <c r="D419" s="54"/>
      <c r="E419" s="7"/>
      <c r="F419" s="19" t="e">
        <f>+SUM(START:END!F419)</f>
        <v>#N/A</v>
      </c>
      <c r="G419" s="56"/>
      <c r="H419" s="7"/>
      <c r="I419" s="19">
        <f>+SUM(START:END!I419)</f>
        <v>0</v>
      </c>
      <c r="J419" s="26"/>
      <c r="K419" s="7"/>
      <c r="L419" s="39">
        <f>+SUM(START:END!L419)</f>
        <v>3594.9299999999989</v>
      </c>
      <c r="M419" s="26"/>
      <c r="N419" s="39" t="e">
        <f t="shared" si="198"/>
        <v>#N/A</v>
      </c>
      <c r="O419" s="26"/>
      <c r="P419" s="7"/>
      <c r="Q419" s="39">
        <f>+SUM(START:END!Q419)</f>
        <v>4282.3999999999996</v>
      </c>
      <c r="R419" s="26"/>
      <c r="S419" s="39">
        <f t="shared" si="208"/>
        <v>-687.47000000000071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tr">
        <f t="shared" ref="A420" si="214">+B420&amp;C420</f>
        <v>PiècesFormation</v>
      </c>
      <c r="B420" s="7" t="s">
        <v>98</v>
      </c>
      <c r="C420" s="271" t="s">
        <v>61</v>
      </c>
      <c r="D420" s="54"/>
      <c r="E420" s="7"/>
      <c r="F420" s="19" t="e">
        <f>+SUM(START:END!F420)</f>
        <v>#N/A</v>
      </c>
      <c r="G420" s="56"/>
      <c r="H420" s="7"/>
      <c r="I420" s="19">
        <f>+SUM(START:END!I420)</f>
        <v>0</v>
      </c>
      <c r="J420" s="26"/>
      <c r="K420" s="7"/>
      <c r="L420" s="39">
        <f>+SUM(START:END!L420)</f>
        <v>0</v>
      </c>
      <c r="M420" s="26"/>
      <c r="N420" s="39" t="e">
        <f t="shared" si="198"/>
        <v>#N/A</v>
      </c>
      <c r="O420" s="26"/>
      <c r="P420" s="7"/>
      <c r="Q420" s="39">
        <f>+SUM(START:END!Q420)</f>
        <v>325</v>
      </c>
      <c r="R420" s="26"/>
      <c r="S420" s="39">
        <f>L420-Q420</f>
        <v>-325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tr">
        <f t="shared" ref="A421" si="215">+B421&amp;C421</f>
        <v>PiècesFrais bancaires</v>
      </c>
      <c r="B421" s="7" t="s">
        <v>98</v>
      </c>
      <c r="C421" s="271" t="s">
        <v>62</v>
      </c>
      <c r="D421" s="54"/>
      <c r="E421" s="7"/>
      <c r="F421" s="19" t="e">
        <f>+SUM(START:END!F421)</f>
        <v>#N/A</v>
      </c>
      <c r="G421" s="56"/>
      <c r="H421" s="7"/>
      <c r="I421" s="19">
        <f>+SUM(START:END!I421)</f>
        <v>0</v>
      </c>
      <c r="J421" s="26"/>
      <c r="K421" s="7"/>
      <c r="L421" s="39">
        <f>+SUM(START:END!L421)</f>
        <v>1743.9899999999998</v>
      </c>
      <c r="M421" s="26"/>
      <c r="N421" s="39" t="e">
        <f t="shared" si="198"/>
        <v>#N/A</v>
      </c>
      <c r="O421" s="26"/>
      <c r="P421" s="7"/>
      <c r="Q421" s="39">
        <f>+SUM(START:END!Q421)</f>
        <v>328.80000000000007</v>
      </c>
      <c r="R421" s="26"/>
      <c r="S421" s="39">
        <f>L421-Q421</f>
        <v>1415.1899999999996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260" t="str">
        <f t="shared" ref="A422" si="216">+B422&amp;C422</f>
        <v>Pièces[...]</v>
      </c>
      <c r="B422" s="7" t="s">
        <v>98</v>
      </c>
      <c r="C422" s="271" t="s">
        <v>19</v>
      </c>
      <c r="D422" s="54"/>
      <c r="E422" s="7"/>
      <c r="F422" s="19" t="e">
        <f>+SUM(START:END!F422)</f>
        <v>#N/A</v>
      </c>
      <c r="G422" s="56"/>
      <c r="H422" s="7"/>
      <c r="I422" s="19">
        <f>+SUM(START:END!I422)</f>
        <v>0</v>
      </c>
      <c r="J422" s="26"/>
      <c r="K422" s="7"/>
      <c r="L422" s="39">
        <f>+SUM(START:END!L422)</f>
        <v>0</v>
      </c>
      <c r="M422" s="26"/>
      <c r="N422" s="39" t="e">
        <f t="shared" si="198"/>
        <v>#N/A</v>
      </c>
      <c r="O422" s="26"/>
      <c r="P422" s="7"/>
      <c r="Q422" s="39">
        <f>+SUM(START:END!Q422)</f>
        <v>0</v>
      </c>
      <c r="R422" s="26"/>
      <c r="S422" s="39">
        <f>L422-Q422</f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260" t="str">
        <f t="shared" ref="A423" si="217">+B423&amp;C423</f>
        <v>Pièces[...]</v>
      </c>
      <c r="B423" s="7" t="s">
        <v>98</v>
      </c>
      <c r="C423" s="271" t="s">
        <v>19</v>
      </c>
      <c r="D423" s="54"/>
      <c r="E423" s="7"/>
      <c r="F423" s="19" t="e">
        <f>+SUM(START:END!F423)</f>
        <v>#N/A</v>
      </c>
      <c r="G423" s="56"/>
      <c r="H423" s="7"/>
      <c r="I423" s="19">
        <f>+SUM(START:END!I423)</f>
        <v>0</v>
      </c>
      <c r="J423" s="26"/>
      <c r="K423" s="7"/>
      <c r="L423" s="39">
        <f>+SUM(START:END!L423)</f>
        <v>0</v>
      </c>
      <c r="M423" s="26"/>
      <c r="N423" s="39" t="e">
        <f t="shared" si="198"/>
        <v>#N/A</v>
      </c>
      <c r="O423" s="26"/>
      <c r="P423" s="7"/>
      <c r="Q423" s="39">
        <f>+SUM(START:END!Q423)</f>
        <v>0</v>
      </c>
      <c r="R423" s="26"/>
      <c r="S423" s="39">
        <f>L423-Q423</f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260" t="str">
        <f t="shared" ref="A424" si="218">+B424&amp;C424</f>
        <v>Pièces[...]</v>
      </c>
      <c r="B424" s="7" t="s">
        <v>98</v>
      </c>
      <c r="C424" s="271" t="s">
        <v>19</v>
      </c>
      <c r="D424" s="54"/>
      <c r="E424" s="7"/>
      <c r="F424" s="19" t="e">
        <f>+SUM(START:END!F424)</f>
        <v>#N/A</v>
      </c>
      <c r="G424" s="56"/>
      <c r="H424" s="7"/>
      <c r="I424" s="19">
        <f>+SUM(START:END!I424)</f>
        <v>0</v>
      </c>
      <c r="J424" s="26"/>
      <c r="K424" s="7"/>
      <c r="L424" s="39">
        <f>+SUM(START:END!L424)</f>
        <v>0</v>
      </c>
      <c r="M424" s="26"/>
      <c r="N424" s="39" t="e">
        <f t="shared" si="198"/>
        <v>#N/A</v>
      </c>
      <c r="O424" s="26"/>
      <c r="P424" s="7"/>
      <c r="Q424" s="39">
        <f>+SUM(START:END!Q424)</f>
        <v>0</v>
      </c>
      <c r="R424" s="26"/>
      <c r="S424" s="39">
        <f>L424-Q424</f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F425/F$314</f>
        <v>#N/A</v>
      </c>
      <c r="F425" s="64" t="e">
        <f>+SUM(F407:F424)</f>
        <v>#N/A</v>
      </c>
      <c r="G425" s="65" t="s">
        <v>38</v>
      </c>
      <c r="H425" s="63" t="e">
        <f>I425/I$314</f>
        <v>#DIV/0!</v>
      </c>
      <c r="I425" s="64">
        <f>+SUM(I407:I424)</f>
        <v>0</v>
      </c>
      <c r="J425" s="65" t="s">
        <v>38</v>
      </c>
      <c r="K425" s="63" t="e">
        <f>L425/L$314</f>
        <v>#DIV/0!</v>
      </c>
      <c r="L425" s="64">
        <f>+SUM(L407:L424)</f>
        <v>30086.57</v>
      </c>
      <c r="M425" s="66"/>
      <c r="N425" s="64" t="e">
        <f>+SUM(N407:N424)</f>
        <v>#N/A</v>
      </c>
      <c r="O425" s="65" t="s">
        <v>38</v>
      </c>
      <c r="P425" s="63" t="e">
        <f>Q425/Q$314</f>
        <v>#DIV/0!</v>
      </c>
      <c r="Q425" s="64">
        <f>+SUM(Q407:Q424)</f>
        <v>39753.83</v>
      </c>
      <c r="R425" s="67"/>
      <c r="S425" s="64">
        <f>+SUM(S407:S424)</f>
        <v>-9667.2599999999984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F427/F$314</f>
        <v>#N/A</v>
      </c>
      <c r="F427" s="64" t="e">
        <f>F406+F425</f>
        <v>#N/A</v>
      </c>
      <c r="G427" s="65" t="s">
        <v>38</v>
      </c>
      <c r="H427" s="63" t="e">
        <f>I427/I$314</f>
        <v>#DIV/0!</v>
      </c>
      <c r="I427" s="64">
        <f>I406+I425</f>
        <v>0</v>
      </c>
      <c r="J427" s="65" t="s">
        <v>38</v>
      </c>
      <c r="K427" s="63" t="e">
        <f>L427/L$314</f>
        <v>#DIV/0!</v>
      </c>
      <c r="L427" s="64">
        <f>L406+L425</f>
        <v>126531.23999999999</v>
      </c>
      <c r="M427" s="66"/>
      <c r="N427" s="64" t="e">
        <f>L427-F427</f>
        <v>#N/A</v>
      </c>
      <c r="O427" s="65" t="s">
        <v>38</v>
      </c>
      <c r="P427" s="63" t="e">
        <f>Q427/Q$314</f>
        <v>#DIV/0!</v>
      </c>
      <c r="Q427" s="64">
        <f>Q406+Q425</f>
        <v>129229.09999999999</v>
      </c>
      <c r="R427" s="67"/>
      <c r="S427" s="64">
        <f>L427-Q427</f>
        <v>-2697.8600000000006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 t="e">
        <f>F390-F427</f>
        <v>#N/A</v>
      </c>
      <c r="G429" s="279"/>
      <c r="H429" s="278"/>
      <c r="I429" s="138">
        <f>I390-I427</f>
        <v>0</v>
      </c>
      <c r="J429" s="279"/>
      <c r="K429" s="278"/>
      <c r="L429" s="138">
        <f>L390-L427</f>
        <v>163179.95000000019</v>
      </c>
      <c r="M429" s="280"/>
      <c r="N429" s="138" t="e">
        <f>L429-F429</f>
        <v>#N/A</v>
      </c>
      <c r="O429" s="279"/>
      <c r="P429" s="278"/>
      <c r="Q429" s="138">
        <f>Q390-Q427</f>
        <v>199655.66999999993</v>
      </c>
      <c r="R429" s="281"/>
      <c r="S429" s="138">
        <f>L429-Q429</f>
        <v>-36475.719999999739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C1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458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  Q3 2026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426" t="s">
        <v>5</v>
      </c>
      <c r="E434" s="427"/>
      <c r="F434" s="425"/>
      <c r="G434" s="424"/>
      <c r="H434" s="427"/>
      <c r="I434" s="425"/>
      <c r="J434" s="424" t="s">
        <v>7</v>
      </c>
      <c r="K434" s="427"/>
      <c r="L434" s="425"/>
      <c r="M434" s="424"/>
      <c r="N434" s="425"/>
      <c r="O434" s="426" t="s">
        <v>8</v>
      </c>
      <c r="P434" s="427"/>
      <c r="Q434" s="425"/>
      <c r="R434" s="424" t="s">
        <v>9</v>
      </c>
      <c r="S434" s="425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458</v>
      </c>
      <c r="C435" s="330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214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458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458</v>
      </c>
      <c r="C437" s="26" t="s">
        <v>459</v>
      </c>
      <c r="D437" s="55" t="e">
        <f>+SUM(START:END!D437)</f>
        <v>#N/A</v>
      </c>
      <c r="E437" s="55" t="e">
        <f>+SUM(START:END!E437)</f>
        <v>#N/A</v>
      </c>
      <c r="F437" s="55" t="e">
        <f>+SUM(START:END!F437)</f>
        <v>#N/A</v>
      </c>
      <c r="G437" s="98"/>
      <c r="H437" s="55"/>
      <c r="I437" s="55"/>
      <c r="J437" s="40">
        <f>+SUM(START:END!J437)</f>
        <v>1086</v>
      </c>
      <c r="K437" s="55">
        <f>+SUM(START:END!K437)</f>
        <v>191152.5</v>
      </c>
      <c r="L437" s="39">
        <f>+SUM(START:END!L437)</f>
        <v>141702.29999999999</v>
      </c>
      <c r="M437" s="99">
        <f>IFERROR((K437-E437)/E437,0)</f>
        <v>0</v>
      </c>
      <c r="N437" s="39" t="e">
        <f>L437-F437</f>
        <v>#N/A</v>
      </c>
      <c r="O437" s="40">
        <f>+SUM(START:END!O437)</f>
        <v>0</v>
      </c>
      <c r="P437" s="55">
        <f>+SUM(START:END!P437)</f>
        <v>0</v>
      </c>
      <c r="Q437" s="39">
        <f>+SUM(START:END!Q437)</f>
        <v>0</v>
      </c>
      <c r="R437" s="99">
        <f>IF(O437=0,0,J437/O437)</f>
        <v>0</v>
      </c>
      <c r="S437" s="39">
        <f>L437-Q437</f>
        <v>141702.29999999999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458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0.74130497900890646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458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458</v>
      </c>
      <c r="C440" s="335" t="s">
        <v>460</v>
      </c>
      <c r="D440" s="105" t="e">
        <f>+SUM(START:END!D440)</f>
        <v>#N/A</v>
      </c>
      <c r="E440" s="55" t="e">
        <f>+SUM(START:END!E440)</f>
        <v>#N/A</v>
      </c>
      <c r="F440" s="55" t="e">
        <f>+SUM(START:END!F440)</f>
        <v>#N/A</v>
      </c>
      <c r="G440" s="131"/>
      <c r="H440" s="55"/>
      <c r="I440" s="55"/>
      <c r="J440" s="106">
        <f>+SUM(START:END!J440)</f>
        <v>500</v>
      </c>
      <c r="K440" s="105">
        <f>+SUM(START:END!K440)</f>
        <v>62155.000000000058</v>
      </c>
      <c r="L440" s="72">
        <f>+SUM(START:END!L440)</f>
        <v>45372.290000000066</v>
      </c>
      <c r="M440" s="109">
        <f>IFERROR((K440-E440)/E440,0)</f>
        <v>0</v>
      </c>
      <c r="N440" s="72" t="e">
        <f>L440-F440</f>
        <v>#N/A</v>
      </c>
      <c r="O440" s="106">
        <f>+SUM(START:END!O440)</f>
        <v>1531</v>
      </c>
      <c r="P440" s="105">
        <f>+SUM(START:END!P440)</f>
        <v>219917.74</v>
      </c>
      <c r="Q440" s="72">
        <f>+SUM(START:END!Q440)</f>
        <v>164538.28999999998</v>
      </c>
      <c r="R440" s="99">
        <f>IF(O440=0,0,J440/O440)</f>
        <v>0.32658393207054215</v>
      </c>
      <c r="S440" s="39">
        <f>L440-Q440</f>
        <v>-119165.99999999991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458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0.72998616362320046</v>
      </c>
      <c r="M441" s="99"/>
      <c r="N441" s="39">
        <f>IFERROR(N440/M440,0)</f>
        <v>0</v>
      </c>
      <c r="O441" s="40"/>
      <c r="P441" s="7"/>
      <c r="Q441" s="100">
        <f>IFERROR(Q440/P440,0)</f>
        <v>0.74818106988549438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458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458</v>
      </c>
      <c r="C443" s="335" t="s">
        <v>461</v>
      </c>
      <c r="D443" s="105">
        <f>+SUM(START:END!D443)</f>
        <v>0</v>
      </c>
      <c r="E443" s="55">
        <f>+SUM(START:END!E443)</f>
        <v>0</v>
      </c>
      <c r="F443" s="55">
        <f>+SUM(START:END!F443)</f>
        <v>0</v>
      </c>
      <c r="G443" s="106"/>
      <c r="H443" s="55"/>
      <c r="I443" s="55"/>
      <c r="J443" s="106">
        <f>+SUM(START:END!J443)</f>
        <v>10</v>
      </c>
      <c r="K443" s="55">
        <f>+SUM(START:END!K443)</f>
        <v>1380.5</v>
      </c>
      <c r="L443" s="39">
        <f>+SUM(START:END!L443)</f>
        <v>990.24</v>
      </c>
      <c r="M443" s="99">
        <f>IFERROR((K443-E443)/E443,0)</f>
        <v>0</v>
      </c>
      <c r="N443" s="72">
        <f>L443-F443</f>
        <v>990.24</v>
      </c>
      <c r="O443" s="106">
        <f>+SUM(START:END!O443)</f>
        <v>50</v>
      </c>
      <c r="P443" s="55">
        <f>+SUM(START:END!P443)</f>
        <v>6005</v>
      </c>
      <c r="Q443" s="39">
        <f>+SUM(START:END!Q443)</f>
        <v>4560.2700000000004</v>
      </c>
      <c r="R443" s="99">
        <f>IF(O443=0,0,J443/O443)</f>
        <v>0.2</v>
      </c>
      <c r="S443" s="39">
        <f>L443-Q443</f>
        <v>-3570.0300000000007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458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0.71730532415791382</v>
      </c>
      <c r="M444" s="99"/>
      <c r="N444" s="39">
        <f>IFERROR(N443/M443,0)</f>
        <v>0</v>
      </c>
      <c r="O444" s="40"/>
      <c r="P444" s="7"/>
      <c r="Q444" s="100">
        <f>IFERROR(Q443/P443,0)</f>
        <v>0.75941215653621985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458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458</v>
      </c>
      <c r="C446" s="26" t="s">
        <v>462</v>
      </c>
      <c r="D446" s="7"/>
      <c r="E446" s="7"/>
      <c r="F446" s="100">
        <f>+SUM(START:END!F446)</f>
        <v>0</v>
      </c>
      <c r="G446" s="7"/>
      <c r="H446" s="91"/>
      <c r="I446" s="93"/>
      <c r="J446" s="40"/>
      <c r="K446" s="7"/>
      <c r="L446" s="39">
        <f>+SUM(START:END!L446)</f>
        <v>-2771.61</v>
      </c>
      <c r="M446" s="99"/>
      <c r="N446" s="39"/>
      <c r="O446" s="40"/>
      <c r="P446" s="7"/>
      <c r="Q446" s="39">
        <f>+SUM(START:END!Q446)</f>
        <v>0</v>
      </c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458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463</v>
      </c>
      <c r="B448" s="7" t="s">
        <v>458</v>
      </c>
      <c r="C448" s="264" t="s">
        <v>464</v>
      </c>
      <c r="D448" s="41"/>
      <c r="E448" s="42" t="e">
        <f>E437+E440+E443</f>
        <v>#N/A</v>
      </c>
      <c r="F448" s="43" t="e">
        <f>F437+F440+F443</f>
        <v>#N/A</v>
      </c>
      <c r="G448" s="44"/>
      <c r="H448" s="42"/>
      <c r="I448" s="43"/>
      <c r="J448" s="44"/>
      <c r="K448" s="41">
        <f>K437+K440+K443</f>
        <v>254688.00000000006</v>
      </c>
      <c r="L448" s="43">
        <f>L437+L440+L443+L446</f>
        <v>185293.22000000006</v>
      </c>
      <c r="M448" s="44"/>
      <c r="N448" s="43"/>
      <c r="O448" s="44"/>
      <c r="P448" s="41">
        <f>P437+P440+P443</f>
        <v>225922.74</v>
      </c>
      <c r="Q448" s="43">
        <f>Q437+Q440+Q443+Q446</f>
        <v>169098.55999999997</v>
      </c>
      <c r="R448" s="44">
        <f>IF(O448=0,0,(J448-O448)/O448)</f>
        <v>0</v>
      </c>
      <c r="S448" s="43">
        <f>L448-Q448</f>
        <v>16194.660000000091</v>
      </c>
      <c r="T448" s="7"/>
      <c r="U448" s="55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458</v>
      </c>
      <c r="C449" s="47"/>
      <c r="D449" s="45"/>
      <c r="E449" s="45"/>
      <c r="F449" s="46" t="e">
        <f>F448/E448</f>
        <v>#N/A</v>
      </c>
      <c r="G449" s="47"/>
      <c r="H449" s="45"/>
      <c r="I449" s="46"/>
      <c r="J449" s="47"/>
      <c r="K449" s="265"/>
      <c r="L449" s="267">
        <f>L448/K448</f>
        <v>0.72753023306948117</v>
      </c>
      <c r="M449" s="48"/>
      <c r="N449" s="49"/>
      <c r="O449" s="47"/>
      <c r="P449" s="265"/>
      <c r="Q449" s="267">
        <f>Q448/P448</f>
        <v>0.74847959085482041</v>
      </c>
      <c r="R449" s="48"/>
      <c r="S449" s="267">
        <f>IF(Q448=0,0,S448/Q448)</f>
        <v>9.577053760836339E-2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458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465</v>
      </c>
      <c r="B451" s="7" t="s">
        <v>458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466</v>
      </c>
      <c r="B452" s="7" t="s">
        <v>458</v>
      </c>
      <c r="C452" s="271" t="s">
        <v>40</v>
      </c>
      <c r="D452" s="7"/>
      <c r="E452" s="7"/>
      <c r="F452" s="19" t="e">
        <f>+SUM(START:END!F452)</f>
        <v>#N/A</v>
      </c>
      <c r="G452" s="26"/>
      <c r="H452" s="7"/>
      <c r="I452" s="19"/>
      <c r="J452" s="26"/>
      <c r="K452" s="7"/>
      <c r="L452" s="39">
        <f>+SUM(START:END!L452)</f>
        <v>540</v>
      </c>
      <c r="M452" s="26"/>
      <c r="N452" s="25"/>
      <c r="O452" s="26"/>
      <c r="P452" s="7"/>
      <c r="Q452" s="39">
        <f>+SUM(START:END!Q452)</f>
        <v>0</v>
      </c>
      <c r="R452" s="26"/>
      <c r="S452" s="39">
        <f t="shared" ref="S452:S481" si="219">L452-Q452</f>
        <v>540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467</v>
      </c>
      <c r="B453" s="7" t="s">
        <v>458</v>
      </c>
      <c r="C453" s="272" t="s">
        <v>41</v>
      </c>
      <c r="D453" s="54"/>
      <c r="E453" s="7"/>
      <c r="F453" s="31" t="e">
        <f>+SUM(START:END!F453)</f>
        <v>#N/A</v>
      </c>
      <c r="G453" s="56"/>
      <c r="H453" s="7"/>
      <c r="I453" s="31"/>
      <c r="J453" s="26"/>
      <c r="K453" s="7"/>
      <c r="L453" s="61">
        <f>+SUM(START:END!L453)</f>
        <v>21597.33</v>
      </c>
      <c r="M453" s="26"/>
      <c r="N453" s="39"/>
      <c r="O453" s="26"/>
      <c r="P453" s="7"/>
      <c r="Q453" s="61">
        <f>+SUM(START:END!Q453)</f>
        <v>0</v>
      </c>
      <c r="R453" s="26"/>
      <c r="S453" s="39">
        <f t="shared" si="219"/>
        <v>21597.33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468</v>
      </c>
      <c r="B454" s="7" t="s">
        <v>458</v>
      </c>
      <c r="C454" s="271" t="s">
        <v>42</v>
      </c>
      <c r="D454" s="68"/>
      <c r="E454" s="69"/>
      <c r="F454" s="19" t="e">
        <f>+SUM(START:END!F454)</f>
        <v>#N/A</v>
      </c>
      <c r="G454" s="70"/>
      <c r="H454" s="69"/>
      <c r="I454" s="19"/>
      <c r="J454" s="71"/>
      <c r="K454" s="69"/>
      <c r="L454" s="39">
        <f>+SUM(START:END!L454)</f>
        <v>4046.34</v>
      </c>
      <c r="M454" s="71"/>
      <c r="N454" s="72"/>
      <c r="O454" s="71"/>
      <c r="P454" s="69"/>
      <c r="Q454" s="39">
        <f>+SUM(START:END!Q454)</f>
        <v>0</v>
      </c>
      <c r="R454" s="71"/>
      <c r="S454" s="72">
        <f t="shared" si="219"/>
        <v>4046.34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469</v>
      </c>
      <c r="B455" s="7" t="s">
        <v>458</v>
      </c>
      <c r="C455" s="271" t="s">
        <v>43</v>
      </c>
      <c r="D455" s="54"/>
      <c r="E455" s="7"/>
      <c r="F455" s="19" t="e">
        <f>+SUM(START:END!F455)</f>
        <v>#N/A</v>
      </c>
      <c r="G455" s="56"/>
      <c r="H455" s="7"/>
      <c r="I455" s="19"/>
      <c r="J455" s="26"/>
      <c r="K455" s="7"/>
      <c r="L455" s="39">
        <f>+SUM(START:END!L455)</f>
        <v>0</v>
      </c>
      <c r="M455" s="26"/>
      <c r="N455" s="39"/>
      <c r="O455" s="26"/>
      <c r="P455" s="7"/>
      <c r="Q455" s="39">
        <f>+SUM(START:END!Q455)</f>
        <v>0</v>
      </c>
      <c r="R455" s="26"/>
      <c r="S455" s="39">
        <f t="shared" si="219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260" t="s">
        <v>470</v>
      </c>
      <c r="B456" s="7" t="s">
        <v>458</v>
      </c>
      <c r="C456" s="26" t="s">
        <v>19</v>
      </c>
      <c r="D456" s="54"/>
      <c r="E456" s="7"/>
      <c r="F456" s="19" t="e">
        <f>+SUM(START:END!F456)</f>
        <v>#N/A</v>
      </c>
      <c r="G456" s="56"/>
      <c r="H456" s="7"/>
      <c r="I456" s="19"/>
      <c r="J456" s="26"/>
      <c r="K456" s="7"/>
      <c r="L456" s="39">
        <f>+SUM(START:END!L456)</f>
        <v>0</v>
      </c>
      <c r="M456" s="26"/>
      <c r="N456" s="39"/>
      <c r="O456" s="26"/>
      <c r="P456" s="7"/>
      <c r="Q456" s="39">
        <f>+SUM(START:END!Q456)</f>
        <v>0</v>
      </c>
      <c r="R456" s="26"/>
      <c r="S456" s="39">
        <f t="shared" si="219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260" t="s">
        <v>470</v>
      </c>
      <c r="B457" s="7" t="s">
        <v>458</v>
      </c>
      <c r="C457" s="26" t="s">
        <v>19</v>
      </c>
      <c r="D457" s="54"/>
      <c r="E457" s="7"/>
      <c r="F457" s="19" t="e">
        <f>+SUM(START:END!F457)</f>
        <v>#N/A</v>
      </c>
      <c r="G457" s="56"/>
      <c r="H457" s="7"/>
      <c r="I457" s="19"/>
      <c r="J457" s="26"/>
      <c r="K457" s="7"/>
      <c r="L457" s="39">
        <f>+SUM(START:END!L457)</f>
        <v>0</v>
      </c>
      <c r="M457" s="26"/>
      <c r="N457" s="39"/>
      <c r="O457" s="26"/>
      <c r="P457" s="7"/>
      <c r="Q457" s="39">
        <f>+SUM(START:END!Q457)</f>
        <v>0</v>
      </c>
      <c r="R457" s="26"/>
      <c r="S457" s="39">
        <f t="shared" si="219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260" t="s">
        <v>470</v>
      </c>
      <c r="B458" s="7" t="s">
        <v>458</v>
      </c>
      <c r="C458" s="26" t="s">
        <v>19</v>
      </c>
      <c r="D458" s="54"/>
      <c r="E458" s="7"/>
      <c r="F458" s="19" t="e">
        <f>+SUM(START:END!F458)</f>
        <v>#N/A</v>
      </c>
      <c r="G458" s="56"/>
      <c r="H458" s="7"/>
      <c r="I458" s="19"/>
      <c r="J458" s="26"/>
      <c r="K458" s="7"/>
      <c r="L458" s="39">
        <f>+SUM(START:END!L458)</f>
        <v>0</v>
      </c>
      <c r="M458" s="26"/>
      <c r="N458" s="39"/>
      <c r="O458" s="26"/>
      <c r="P458" s="7"/>
      <c r="Q458" s="39">
        <f>+SUM(START:END!Q458)</f>
        <v>0</v>
      </c>
      <c r="R458" s="26"/>
      <c r="S458" s="39">
        <f t="shared" si="219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471</v>
      </c>
      <c r="B459" s="7" t="s">
        <v>458</v>
      </c>
      <c r="C459" s="272" t="s">
        <v>44</v>
      </c>
      <c r="D459" s="54"/>
      <c r="E459" s="7"/>
      <c r="F459" s="31" t="e">
        <f>+SUM(START:END!F459)</f>
        <v>#N/A</v>
      </c>
      <c r="G459" s="56"/>
      <c r="H459" s="7"/>
      <c r="I459" s="31"/>
      <c r="J459" s="26"/>
      <c r="K459" s="7"/>
      <c r="L459" s="61">
        <f>+SUM(START:END!L459)</f>
        <v>15459.36</v>
      </c>
      <c r="M459" s="26"/>
      <c r="N459" s="39"/>
      <c r="O459" s="26"/>
      <c r="P459" s="7"/>
      <c r="Q459" s="61">
        <f>+SUM(START:END!Q459)</f>
        <v>0</v>
      </c>
      <c r="R459" s="26"/>
      <c r="S459" s="39">
        <f t="shared" si="219"/>
        <v>15459.36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472</v>
      </c>
      <c r="B460" s="7" t="s">
        <v>458</v>
      </c>
      <c r="C460" s="271" t="s">
        <v>45</v>
      </c>
      <c r="D460" s="68"/>
      <c r="E460" s="69"/>
      <c r="F460" s="19" t="e">
        <f>+SUM(START:END!F460)</f>
        <v>#N/A</v>
      </c>
      <c r="G460" s="70"/>
      <c r="H460" s="69"/>
      <c r="I460" s="19"/>
      <c r="J460" s="71"/>
      <c r="K460" s="69"/>
      <c r="L460" s="39">
        <f>+SUM(START:END!L460)</f>
        <v>15634.909999999998</v>
      </c>
      <c r="M460" s="71"/>
      <c r="N460" s="72"/>
      <c r="O460" s="71"/>
      <c r="P460" s="69"/>
      <c r="Q460" s="39">
        <f>+SUM(START:END!Q460)</f>
        <v>0</v>
      </c>
      <c r="R460" s="71"/>
      <c r="S460" s="72">
        <f t="shared" si="219"/>
        <v>15634.909999999998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473</v>
      </c>
      <c r="B461" s="7" t="s">
        <v>458</v>
      </c>
      <c r="C461" s="271" t="s">
        <v>46</v>
      </c>
      <c r="D461" s="54"/>
      <c r="E461" s="7"/>
      <c r="F461" s="19" t="e">
        <f>+SUM(START:END!F461)</f>
        <v>#N/A</v>
      </c>
      <c r="G461" s="56"/>
      <c r="H461" s="7"/>
      <c r="I461" s="19"/>
      <c r="J461" s="26"/>
      <c r="K461" s="7"/>
      <c r="L461" s="39">
        <f>+SUM(START:END!L461)</f>
        <v>3452.69</v>
      </c>
      <c r="M461" s="26"/>
      <c r="N461" s="39"/>
      <c r="O461" s="26"/>
      <c r="P461" s="7"/>
      <c r="Q461" s="39">
        <f>+SUM(START:END!Q461)</f>
        <v>0</v>
      </c>
      <c r="R461" s="26"/>
      <c r="S461" s="39">
        <f t="shared" si="219"/>
        <v>3452.69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474</v>
      </c>
      <c r="B462" s="7" t="s">
        <v>458</v>
      </c>
      <c r="C462" s="271" t="s">
        <v>47</v>
      </c>
      <c r="D462" s="54"/>
      <c r="E462" s="7"/>
      <c r="F462" s="19" t="e">
        <f>+SUM(START:END!F462)</f>
        <v>#N/A</v>
      </c>
      <c r="G462" s="56"/>
      <c r="H462" s="7"/>
      <c r="I462" s="19"/>
      <c r="J462" s="26"/>
      <c r="K462" s="7"/>
      <c r="L462" s="39">
        <f>+SUM(START:END!L462)</f>
        <v>2058.8199999999997</v>
      </c>
      <c r="M462" s="26"/>
      <c r="N462" s="39"/>
      <c r="O462" s="26"/>
      <c r="P462" s="7"/>
      <c r="Q462" s="39">
        <f>+SUM(START:END!Q462)</f>
        <v>0</v>
      </c>
      <c r="R462" s="26"/>
      <c r="S462" s="39">
        <f t="shared" si="219"/>
        <v>2058.8199999999997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260" t="s">
        <v>470</v>
      </c>
      <c r="B463" s="7" t="s">
        <v>458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219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475</v>
      </c>
      <c r="B464" s="7" t="s">
        <v>458</v>
      </c>
      <c r="C464" s="139" t="s">
        <v>48</v>
      </c>
      <c r="D464" s="62" t="s">
        <v>38</v>
      </c>
      <c r="E464" s="63">
        <f>IFERROR(F464/F$448,0)</f>
        <v>0</v>
      </c>
      <c r="F464" s="64" t="e">
        <f>+SUM(F452:F463)</f>
        <v>#N/A</v>
      </c>
      <c r="G464" s="65"/>
      <c r="H464" s="63"/>
      <c r="I464" s="64"/>
      <c r="J464" s="65" t="s">
        <v>38</v>
      </c>
      <c r="K464" s="63">
        <f>IFERROR(L464/L$448,0)</f>
        <v>0.33886534002701219</v>
      </c>
      <c r="L464" s="64">
        <f>+SUM(L452:L463)</f>
        <v>62789.45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219"/>
        <v>62789.45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476</v>
      </c>
      <c r="B465" s="7" t="s">
        <v>458</v>
      </c>
      <c r="C465" s="329" t="s">
        <v>49</v>
      </c>
      <c r="D465" s="54"/>
      <c r="E465" s="7"/>
      <c r="F465" s="19" t="e">
        <f>+SUM(START:END!F465)</f>
        <v>#N/A</v>
      </c>
      <c r="G465" s="56"/>
      <c r="H465" s="7"/>
      <c r="I465" s="19"/>
      <c r="J465" s="26"/>
      <c r="K465" s="7"/>
      <c r="L465" s="39">
        <f>+SUM(START:END!L465)</f>
        <v>0</v>
      </c>
      <c r="M465" s="26"/>
      <c r="N465" s="39"/>
      <c r="O465" s="26"/>
      <c r="P465" s="7"/>
      <c r="Q465" s="39">
        <f>+SUM(START:END!Q465)</f>
        <v>0</v>
      </c>
      <c r="R465" s="26"/>
      <c r="S465" s="39">
        <f t="shared" si="219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477</v>
      </c>
      <c r="B466" s="7" t="s">
        <v>458</v>
      </c>
      <c r="C466" s="271" t="s">
        <v>50</v>
      </c>
      <c r="D466" s="54"/>
      <c r="E466" s="7"/>
      <c r="F466" s="19" t="e">
        <f>+SUM(START:END!F466)</f>
        <v>#N/A</v>
      </c>
      <c r="G466" s="56"/>
      <c r="H466" s="7"/>
      <c r="I466" s="19"/>
      <c r="J466" s="26"/>
      <c r="K466" s="7"/>
      <c r="L466" s="39">
        <f>+SUM(START:END!L466)</f>
        <v>0</v>
      </c>
      <c r="M466" s="26"/>
      <c r="N466" s="39"/>
      <c r="O466" s="26"/>
      <c r="P466" s="7"/>
      <c r="Q466" s="39">
        <f>+SUM(START:END!Q466)</f>
        <v>0</v>
      </c>
      <c r="R466" s="26"/>
      <c r="S466" s="39">
        <f t="shared" si="219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478</v>
      </c>
      <c r="B467" s="7" t="s">
        <v>458</v>
      </c>
      <c r="C467" s="272" t="s">
        <v>51</v>
      </c>
      <c r="D467" s="57"/>
      <c r="E467" s="73"/>
      <c r="F467" s="31" t="e">
        <f>+SUM(START:END!F467)</f>
        <v>#N/A</v>
      </c>
      <c r="G467" s="59"/>
      <c r="H467" s="73"/>
      <c r="I467" s="31"/>
      <c r="J467" s="14"/>
      <c r="K467" s="73"/>
      <c r="L467" s="61">
        <f>+SUM(START:END!L467)</f>
        <v>0</v>
      </c>
      <c r="M467" s="14"/>
      <c r="N467" s="61"/>
      <c r="O467" s="14"/>
      <c r="P467" s="73"/>
      <c r="Q467" s="61">
        <f>+SUM(START:END!Q467)</f>
        <v>0</v>
      </c>
      <c r="R467" s="14"/>
      <c r="S467" s="61">
        <f t="shared" si="219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479</v>
      </c>
      <c r="B468" s="7" t="s">
        <v>458</v>
      </c>
      <c r="C468" s="271" t="s">
        <v>52</v>
      </c>
      <c r="D468" s="54"/>
      <c r="E468" s="7"/>
      <c r="F468" s="19" t="e">
        <f>+SUM(START:END!F468)</f>
        <v>#N/A</v>
      </c>
      <c r="G468" s="56"/>
      <c r="H468" s="7"/>
      <c r="I468" s="19"/>
      <c r="J468" s="26"/>
      <c r="K468" s="7"/>
      <c r="L468" s="39">
        <f>+SUM(START:END!L468)</f>
        <v>0</v>
      </c>
      <c r="M468" s="26"/>
      <c r="N468" s="39"/>
      <c r="O468" s="26"/>
      <c r="P468" s="7"/>
      <c r="Q468" s="39">
        <f>+SUM(START:END!Q468)</f>
        <v>0</v>
      </c>
      <c r="R468" s="26"/>
      <c r="S468" s="39">
        <f t="shared" si="219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480</v>
      </c>
      <c r="B469" s="7" t="s">
        <v>458</v>
      </c>
      <c r="C469" s="271" t="s">
        <v>53</v>
      </c>
      <c r="D469" s="54"/>
      <c r="E469" s="7"/>
      <c r="F469" s="19" t="e">
        <f>+SUM(START:END!F469)</f>
        <v>#N/A</v>
      </c>
      <c r="G469" s="56"/>
      <c r="H469" s="7"/>
      <c r="I469" s="19"/>
      <c r="J469" s="26"/>
      <c r="K469" s="7"/>
      <c r="L469" s="39">
        <f>+SUM(START:END!L469)</f>
        <v>0</v>
      </c>
      <c r="M469" s="26"/>
      <c r="N469" s="39"/>
      <c r="O469" s="26"/>
      <c r="P469" s="7"/>
      <c r="Q469" s="39">
        <f>+SUM(START:END!Q469)</f>
        <v>0</v>
      </c>
      <c r="R469" s="26"/>
      <c r="S469" s="39">
        <f t="shared" si="219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481</v>
      </c>
      <c r="B470" s="7" t="s">
        <v>458</v>
      </c>
      <c r="C470" s="271" t="s">
        <v>54</v>
      </c>
      <c r="D470" s="57"/>
      <c r="E470" s="73"/>
      <c r="F470" s="31" t="e">
        <f>+SUM(START:END!F470)</f>
        <v>#N/A</v>
      </c>
      <c r="G470" s="59"/>
      <c r="H470" s="73"/>
      <c r="I470" s="31"/>
      <c r="J470" s="14"/>
      <c r="K470" s="73"/>
      <c r="L470" s="61">
        <f>+SUM(START:END!L470)</f>
        <v>567.63</v>
      </c>
      <c r="M470" s="14"/>
      <c r="N470" s="61"/>
      <c r="O470" s="14"/>
      <c r="P470" s="73"/>
      <c r="Q470" s="61">
        <f>+SUM(START:END!Q470)</f>
        <v>0</v>
      </c>
      <c r="R470" s="14"/>
      <c r="S470" s="61">
        <f t="shared" si="219"/>
        <v>567.63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482</v>
      </c>
      <c r="B471" s="7" t="s">
        <v>458</v>
      </c>
      <c r="C471" s="329" t="s">
        <v>55</v>
      </c>
      <c r="D471" s="54"/>
      <c r="E471" s="7"/>
      <c r="F471" s="19" t="e">
        <f>+SUM(START:END!F471)</f>
        <v>#N/A</v>
      </c>
      <c r="G471" s="56"/>
      <c r="H471" s="7"/>
      <c r="I471" s="19"/>
      <c r="J471" s="26"/>
      <c r="K471" s="7"/>
      <c r="L471" s="39">
        <f>+SUM(START:END!L471)</f>
        <v>0</v>
      </c>
      <c r="M471" s="26"/>
      <c r="N471" s="39"/>
      <c r="O471" s="26"/>
      <c r="P471" s="7"/>
      <c r="Q471" s="39">
        <f>+SUM(START:END!Q471)</f>
        <v>0</v>
      </c>
      <c r="R471" s="26"/>
      <c r="S471" s="39">
        <f t="shared" si="219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483</v>
      </c>
      <c r="B472" s="7" t="s">
        <v>458</v>
      </c>
      <c r="C472" s="271" t="s">
        <v>56</v>
      </c>
      <c r="D472" s="54"/>
      <c r="E472" s="7"/>
      <c r="F472" s="19" t="e">
        <f>+SUM(START:END!F472)</f>
        <v>#N/A</v>
      </c>
      <c r="G472" s="56"/>
      <c r="H472" s="7"/>
      <c r="I472" s="19"/>
      <c r="J472" s="26"/>
      <c r="K472" s="7"/>
      <c r="L472" s="39">
        <f>+SUM(START:END!L472)</f>
        <v>980.04</v>
      </c>
      <c r="M472" s="26"/>
      <c r="N472" s="39"/>
      <c r="O472" s="26"/>
      <c r="P472" s="7"/>
      <c r="Q472" s="39">
        <f>+SUM(START:END!Q472)</f>
        <v>0</v>
      </c>
      <c r="R472" s="26"/>
      <c r="S472" s="39">
        <f t="shared" si="219"/>
        <v>980.04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484</v>
      </c>
      <c r="B473" s="7" t="s">
        <v>458</v>
      </c>
      <c r="C473" s="271" t="s">
        <v>57</v>
      </c>
      <c r="D473" s="54"/>
      <c r="E473" s="7"/>
      <c r="F473" s="19" t="e">
        <f>+SUM(START:END!F473)</f>
        <v>#N/A</v>
      </c>
      <c r="G473" s="56"/>
      <c r="H473" s="7"/>
      <c r="I473" s="19"/>
      <c r="J473" s="26"/>
      <c r="K473" s="7"/>
      <c r="L473" s="39">
        <f>+SUM(START:END!L473)</f>
        <v>0</v>
      </c>
      <c r="M473" s="26"/>
      <c r="N473" s="39"/>
      <c r="O473" s="26"/>
      <c r="P473" s="7"/>
      <c r="Q473" s="39">
        <f>+SUM(START:END!Q473)</f>
        <v>0</v>
      </c>
      <c r="R473" s="26"/>
      <c r="S473" s="39">
        <f t="shared" si="219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485</v>
      </c>
      <c r="B474" s="7" t="s">
        <v>458</v>
      </c>
      <c r="C474" s="271" t="s">
        <v>58</v>
      </c>
      <c r="D474" s="54"/>
      <c r="E474" s="7"/>
      <c r="F474" s="19" t="e">
        <f>+SUM(START:END!F474)</f>
        <v>#N/A</v>
      </c>
      <c r="G474" s="56"/>
      <c r="H474" s="7"/>
      <c r="I474" s="19"/>
      <c r="J474" s="26"/>
      <c r="K474" s="7"/>
      <c r="L474" s="39">
        <f>+SUM(START:END!L474)</f>
        <v>0</v>
      </c>
      <c r="M474" s="26"/>
      <c r="N474" s="39"/>
      <c r="O474" s="26"/>
      <c r="P474" s="7"/>
      <c r="Q474" s="39">
        <f>+SUM(START:END!Q474)</f>
        <v>0</v>
      </c>
      <c r="R474" s="26"/>
      <c r="S474" s="39">
        <f t="shared" si="219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486</v>
      </c>
      <c r="B475" s="7" t="s">
        <v>458</v>
      </c>
      <c r="C475" s="271" t="s">
        <v>59</v>
      </c>
      <c r="D475" s="54"/>
      <c r="E475" s="7"/>
      <c r="F475" s="19" t="e">
        <f>+SUM(START:END!F475)</f>
        <v>#N/A</v>
      </c>
      <c r="G475" s="56"/>
      <c r="H475" s="7"/>
      <c r="I475" s="19"/>
      <c r="J475" s="26"/>
      <c r="K475" s="7"/>
      <c r="L475" s="39">
        <f>+SUM(START:END!L475)</f>
        <v>0</v>
      </c>
      <c r="M475" s="26"/>
      <c r="N475" s="39"/>
      <c r="O475" s="26"/>
      <c r="P475" s="7"/>
      <c r="Q475" s="39">
        <f>+SUM(START:END!Q475)</f>
        <v>0</v>
      </c>
      <c r="R475" s="26"/>
      <c r="S475" s="39">
        <f t="shared" si="219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487</v>
      </c>
      <c r="B476" s="7" t="s">
        <v>458</v>
      </c>
      <c r="C476" s="271" t="s">
        <v>60</v>
      </c>
      <c r="D476" s="54"/>
      <c r="E476" s="7"/>
      <c r="F476" s="19" t="e">
        <f>+SUM(START:END!F476)</f>
        <v>#N/A</v>
      </c>
      <c r="G476" s="56"/>
      <c r="H476" s="7"/>
      <c r="I476" s="19"/>
      <c r="J476" s="26"/>
      <c r="K476" s="7"/>
      <c r="L476" s="39">
        <f>+SUM(START:END!L476)</f>
        <v>75</v>
      </c>
      <c r="M476" s="26"/>
      <c r="N476" s="39"/>
      <c r="O476" s="26"/>
      <c r="P476" s="7"/>
      <c r="Q476" s="39">
        <f>+SUM(START:END!Q476)</f>
        <v>0</v>
      </c>
      <c r="R476" s="26"/>
      <c r="S476" s="39">
        <f t="shared" si="219"/>
        <v>75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488</v>
      </c>
      <c r="B477" s="7" t="s">
        <v>458</v>
      </c>
      <c r="C477" s="271" t="s">
        <v>61</v>
      </c>
      <c r="D477" s="54"/>
      <c r="E477" s="7"/>
      <c r="F477" s="19" t="e">
        <f>+SUM(START:END!F477)</f>
        <v>#N/A</v>
      </c>
      <c r="G477" s="56"/>
      <c r="H477" s="7"/>
      <c r="I477" s="19"/>
      <c r="J477" s="26"/>
      <c r="K477" s="7"/>
      <c r="L477" s="39">
        <f>+SUM(START:END!L477)</f>
        <v>3833.52</v>
      </c>
      <c r="M477" s="26"/>
      <c r="N477" s="39"/>
      <c r="O477" s="26"/>
      <c r="P477" s="7"/>
      <c r="Q477" s="39">
        <f>+SUM(START:END!Q477)</f>
        <v>0</v>
      </c>
      <c r="R477" s="26"/>
      <c r="S477" s="39">
        <f t="shared" si="219"/>
        <v>3833.52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260" t="s">
        <v>489</v>
      </c>
      <c r="B478" s="7" t="s">
        <v>458</v>
      </c>
      <c r="C478" s="271" t="s">
        <v>62</v>
      </c>
      <c r="D478" s="54"/>
      <c r="E478" s="7"/>
      <c r="F478" s="19" t="e">
        <f>+SUM(START:END!F478)</f>
        <v>#N/A</v>
      </c>
      <c r="G478" s="56"/>
      <c r="H478" s="7"/>
      <c r="I478" s="19"/>
      <c r="J478" s="26"/>
      <c r="K478" s="7"/>
      <c r="L478" s="39">
        <f>+SUM(START:END!L478)</f>
        <v>0</v>
      </c>
      <c r="M478" s="26"/>
      <c r="N478" s="39"/>
      <c r="O478" s="26"/>
      <c r="P478" s="7"/>
      <c r="Q478" s="39">
        <f>+SUM(START:END!Q478)</f>
        <v>0</v>
      </c>
      <c r="R478" s="26"/>
      <c r="S478" s="39">
        <f t="shared" si="219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260" t="s">
        <v>470</v>
      </c>
      <c r="B479" s="7" t="s">
        <v>458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219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260" t="s">
        <v>470</v>
      </c>
      <c r="B480" s="7" t="s">
        <v>458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219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260" t="s">
        <v>470</v>
      </c>
      <c r="B481" s="7" t="s">
        <v>458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219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 t="e">
        <f>+SUM(F465:F481)</f>
        <v>#N/A</v>
      </c>
      <c r="G482" s="65"/>
      <c r="H482" s="63"/>
      <c r="I482" s="64"/>
      <c r="J482" s="65" t="s">
        <v>38</v>
      </c>
      <c r="K482" s="63">
        <f>IFERROR(L482/L$448,0)</f>
        <v>2.9446247412614444E-2</v>
      </c>
      <c r="L482" s="64">
        <f>+SUM(L465:L481)</f>
        <v>5456.1900000000005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5456.1900000000005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 t="e">
        <f>F464+F482</f>
        <v>#N/A</v>
      </c>
      <c r="G484" s="65"/>
      <c r="H484" s="63"/>
      <c r="I484" s="64"/>
      <c r="J484" s="65" t="s">
        <v>38</v>
      </c>
      <c r="K484" s="63">
        <f>IFERROR(L484/L$448,0)</f>
        <v>0.36831158743962666</v>
      </c>
      <c r="L484" s="64">
        <f>L464+L482</f>
        <v>68245.64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68245.64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117047.58000000006</v>
      </c>
      <c r="M486" s="280"/>
      <c r="N486" s="138"/>
      <c r="O486" s="279"/>
      <c r="P486" s="278"/>
      <c r="Q486" s="138">
        <f>Q448-Q484</f>
        <v>169098.55999999997</v>
      </c>
      <c r="R486" s="281"/>
      <c r="S486" s="138">
        <f>L486-Q486</f>
        <v>-52050.979999999909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/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/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6"/>
      <c r="F489" s="337"/>
      <c r="L489" s="337"/>
      <c r="V489" s="338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39" t="s">
        <v>115</v>
      </c>
      <c r="AF489" s="339"/>
      <c r="AG489" s="254"/>
      <c r="AH489" s="254"/>
      <c r="AI489" s="254"/>
      <c r="AJ489" s="340"/>
      <c r="AK489" s="252"/>
      <c r="AL489" s="254"/>
      <c r="AM489" s="254"/>
      <c r="AN489" s="254"/>
      <c r="AO489" s="340" t="str">
        <f>$S$1</f>
        <v>Réalisé  Q3 2026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6"/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tr">
        <f>+U491&amp;V491</f>
        <v/>
      </c>
      <c r="B491" s="3"/>
      <c r="C491" s="336"/>
      <c r="V491" s="341"/>
      <c r="W491" s="342"/>
      <c r="X491" s="422" t="s">
        <v>116</v>
      </c>
      <c r="Y491" s="420"/>
      <c r="Z491" s="423"/>
      <c r="AA491" s="419" t="s">
        <v>71</v>
      </c>
      <c r="AB491" s="420"/>
      <c r="AC491" s="423"/>
      <c r="AD491" s="419" t="s">
        <v>7</v>
      </c>
      <c r="AE491" s="420"/>
      <c r="AF491" s="423"/>
      <c r="AG491" s="419" t="s">
        <v>210</v>
      </c>
      <c r="AH491" s="420"/>
      <c r="AI491" s="423"/>
      <c r="AJ491" s="419" t="s">
        <v>117</v>
      </c>
      <c r="AK491" s="420"/>
      <c r="AL491" s="420"/>
      <c r="AM491" s="419" t="s">
        <v>118</v>
      </c>
      <c r="AN491" s="420"/>
      <c r="AO491" s="421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tr">
        <f t="shared" ref="A492:A526" si="220">+U492&amp;V492</f>
        <v/>
      </c>
      <c r="B492" s="3"/>
      <c r="C492" s="336"/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 t="s">
        <v>120</v>
      </c>
      <c r="AB492" s="141" t="s">
        <v>121</v>
      </c>
      <c r="AC492" s="142" t="s">
        <v>122</v>
      </c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6" t="s">
        <v>490</v>
      </c>
      <c r="V493" s="272" t="s">
        <v>14</v>
      </c>
      <c r="W493" s="145"/>
      <c r="X493" s="145"/>
      <c r="Y493" s="145"/>
      <c r="Z493" s="146" t="e">
        <f>F5+F93+E268+E326+D390+#REF!</f>
        <v>#N/A</v>
      </c>
      <c r="AA493" s="145"/>
      <c r="AB493" s="145"/>
      <c r="AC493" s="146"/>
      <c r="AD493" s="147"/>
      <c r="AE493" s="148"/>
      <c r="AF493" s="146">
        <f>L5+L93+L173+K268+K326+J390+K448</f>
        <v>39561478.140000001</v>
      </c>
      <c r="AG493" s="147"/>
      <c r="AH493" s="148"/>
      <c r="AI493" s="149"/>
      <c r="AJ493" s="147"/>
      <c r="AK493" s="148"/>
      <c r="AL493" s="146">
        <f>Q5+Q93+Q173+P268+P326+O390+P448</f>
        <v>53623580.910000011</v>
      </c>
      <c r="AM493" s="150"/>
      <c r="AN493" s="148"/>
      <c r="AO493" s="343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6" t="s">
        <v>490</v>
      </c>
      <c r="V494" s="344" t="s">
        <v>126</v>
      </c>
      <c r="W494" s="151"/>
      <c r="X494" s="345" t="e">
        <f>Z494/Z493</f>
        <v>#N/A</v>
      </c>
      <c r="Y494" s="151"/>
      <c r="Z494" s="152" t="e">
        <f>F27+F109+F268+F326+F390+#REF!</f>
        <v>#N/A</v>
      </c>
      <c r="AA494" s="151"/>
      <c r="AB494" s="151"/>
      <c r="AC494" s="152"/>
      <c r="AD494" s="345">
        <f>AF494/AF493</f>
        <v>4.1639117835044759E-2</v>
      </c>
      <c r="AE494" s="154"/>
      <c r="AF494" s="152">
        <f>L27+L109+L182+L268+L326+L390+L448</f>
        <v>1647305.0500000073</v>
      </c>
      <c r="AG494" s="153"/>
      <c r="AH494" s="154" t="e">
        <f>AF494-Z494</f>
        <v>#N/A</v>
      </c>
      <c r="AI494" s="155" t="e">
        <f>AH494/Z494</f>
        <v>#N/A</v>
      </c>
      <c r="AJ494" s="345">
        <f>AL494/AL493</f>
        <v>4.5999837350288064E-2</v>
      </c>
      <c r="AK494" s="154"/>
      <c r="AL494" s="152">
        <f>Q27+Q109+Q182+Q268+Q326+Q390+Q448</f>
        <v>2466676.0000000126</v>
      </c>
      <c r="AM494" s="156"/>
      <c r="AN494" s="154">
        <f>AF494-AL494</f>
        <v>-819370.95000000531</v>
      </c>
      <c r="AO494" s="346">
        <f>IF(AL494=0,0,AN494/AL494)</f>
        <v>-0.33217615527941291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tr">
        <f t="shared" si="220"/>
        <v>DÉPENSES</v>
      </c>
      <c r="B495" s="3"/>
      <c r="C495" s="336"/>
      <c r="V495" s="347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8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tr">
        <f t="shared" si="220"/>
        <v>Comm. vendeurs</v>
      </c>
      <c r="B496" s="3"/>
      <c r="C496" s="336"/>
      <c r="V496" s="271" t="s">
        <v>30</v>
      </c>
      <c r="W496" s="163" t="s">
        <v>128</v>
      </c>
      <c r="X496" s="157"/>
      <c r="Y496" s="164" t="e">
        <f>Z496/(D$13+D$97)</f>
        <v>#N/A</v>
      </c>
      <c r="Z496" s="158" t="e">
        <f>+SUM(START:END!Z496)</f>
        <v>#N/A</v>
      </c>
      <c r="AA496" s="157"/>
      <c r="AB496" s="164">
        <f>IF(AC496=0,0,AC496/(G$13+G$97))</f>
        <v>0</v>
      </c>
      <c r="AC496" s="158">
        <f>+SUM(START:END!AC496)</f>
        <v>0</v>
      </c>
      <c r="AD496" s="165"/>
      <c r="AE496" s="160">
        <f>IF(AF496=0,0,AF496/(J$13+J$97))</f>
        <v>673.70341176470583</v>
      </c>
      <c r="AF496" s="158">
        <f>+SUM(START:END!AF496)</f>
        <v>171794.37</v>
      </c>
      <c r="AG496" s="159" t="e">
        <f t="shared" ref="AG496:AG505" si="221">AE496-Y496</f>
        <v>#N/A</v>
      </c>
      <c r="AH496" s="160" t="e">
        <f t="shared" ref="AH496:AH523" si="222">AF496-Z496</f>
        <v>#N/A</v>
      </c>
      <c r="AI496" s="161" t="e">
        <f t="shared" ref="AI496:AI505" si="223">IF(Z496=0,0,AH496/Z496)</f>
        <v>#N/A</v>
      </c>
      <c r="AJ496" s="165"/>
      <c r="AK496" s="160">
        <f>AL496/(O$13+O$97)</f>
        <v>1001.617356321839</v>
      </c>
      <c r="AL496" s="158">
        <f t="shared" ref="AL496:AL504" si="224">+SUMIF($C:$C,$V496,Q:Q)</f>
        <v>261422.12999999998</v>
      </c>
      <c r="AM496" s="162" t="e">
        <f t="shared" ref="AM496:AM501" si="225">AE496-Y496</f>
        <v>#N/A</v>
      </c>
      <c r="AN496" s="160">
        <f t="shared" ref="AN496:AN501" si="226">AF496-AL496</f>
        <v>-89627.75999999998</v>
      </c>
      <c r="AO496" s="349">
        <f t="shared" ref="AO496:AO518" si="227">IF(AL496=0,0,AN496/AL496)</f>
        <v>-0.34284687375165979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tr">
        <f t="shared" si="220"/>
        <v>Comm. F&amp;I</v>
      </c>
      <c r="B497" s="3"/>
      <c r="C497" s="336"/>
      <c r="V497" s="272" t="s">
        <v>31</v>
      </c>
      <c r="W497" s="166" t="s">
        <v>129</v>
      </c>
      <c r="X497" s="145"/>
      <c r="Y497" s="167" t="e">
        <f t="shared" ref="Y497:Y502" si="228">Z497/(D$13+D$97)</f>
        <v>#N/A</v>
      </c>
      <c r="Z497" s="146" t="e">
        <f>+SUM(START:END!Z497)</f>
        <v>#N/A</v>
      </c>
      <c r="AA497" s="145"/>
      <c r="AB497" s="167">
        <f t="shared" ref="AB497:AB502" si="229">IF(AC497=0,0,AC497/(G$13+G$97))</f>
        <v>0</v>
      </c>
      <c r="AC497" s="146">
        <f>+SUM(START:END!AC497)</f>
        <v>0</v>
      </c>
      <c r="AD497" s="168"/>
      <c r="AE497" s="148">
        <f t="shared" ref="AE497:AE502" si="230">IF(AF497=0,0,AF497/(J$13+J$97))</f>
        <v>191.02117647058822</v>
      </c>
      <c r="AF497" s="146">
        <f>+SUM(START:END!AF497)</f>
        <v>48710.399999999994</v>
      </c>
      <c r="AG497" s="147" t="e">
        <f t="shared" si="221"/>
        <v>#N/A</v>
      </c>
      <c r="AH497" s="148" t="e">
        <f t="shared" si="222"/>
        <v>#N/A</v>
      </c>
      <c r="AI497" s="169" t="e">
        <f t="shared" si="223"/>
        <v>#N/A</v>
      </c>
      <c r="AJ497" s="168"/>
      <c r="AK497" s="148">
        <f t="shared" ref="AK497:AK502" si="231">AL497/(O$13+O$97)</f>
        <v>216.31061302681994</v>
      </c>
      <c r="AL497" s="146">
        <f t="shared" si="224"/>
        <v>56457.070000000007</v>
      </c>
      <c r="AM497" s="350" t="e">
        <f t="shared" si="225"/>
        <v>#N/A</v>
      </c>
      <c r="AN497" s="148">
        <f t="shared" si="226"/>
        <v>-7746.6700000000128</v>
      </c>
      <c r="AO497" s="343">
        <f t="shared" si="227"/>
        <v>-0.1372134614849834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tr">
        <f t="shared" si="220"/>
        <v>Frais de livraison</v>
      </c>
      <c r="B498" s="3"/>
      <c r="C498" s="336"/>
      <c r="V498" s="271" t="s">
        <v>32</v>
      </c>
      <c r="W498" s="163" t="s">
        <v>130</v>
      </c>
      <c r="X498" s="157"/>
      <c r="Y498" s="164" t="e">
        <f t="shared" si="228"/>
        <v>#N/A</v>
      </c>
      <c r="Z498" s="158" t="e">
        <f>+SUM(START:END!Z498)</f>
        <v>#N/A</v>
      </c>
      <c r="AA498" s="157"/>
      <c r="AB498" s="164">
        <f t="shared" si="229"/>
        <v>0</v>
      </c>
      <c r="AC498" s="158">
        <f>+SUM(START:END!AC498)</f>
        <v>0</v>
      </c>
      <c r="AD498" s="165"/>
      <c r="AE498" s="160">
        <f t="shared" si="230"/>
        <v>311.47254901960787</v>
      </c>
      <c r="AF498" s="158">
        <f>+SUM(START:END!AF498)</f>
        <v>79425.5</v>
      </c>
      <c r="AG498" s="159" t="e">
        <f t="shared" si="221"/>
        <v>#N/A</v>
      </c>
      <c r="AH498" s="160" t="e">
        <f t="shared" si="222"/>
        <v>#N/A</v>
      </c>
      <c r="AI498" s="161" t="e">
        <f t="shared" si="223"/>
        <v>#N/A</v>
      </c>
      <c r="AJ498" s="165"/>
      <c r="AK498" s="160">
        <f t="shared" si="231"/>
        <v>-260.8040996168582</v>
      </c>
      <c r="AL498" s="158">
        <f t="shared" si="224"/>
        <v>-68069.87</v>
      </c>
      <c r="AM498" s="162" t="e">
        <f t="shared" si="225"/>
        <v>#N/A</v>
      </c>
      <c r="AN498" s="160">
        <f t="shared" si="226"/>
        <v>147495.37</v>
      </c>
      <c r="AO498" s="349">
        <f t="shared" si="227"/>
        <v>-2.1668231480389193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tr">
        <f t="shared" si="220"/>
        <v>Service gratuit 1</v>
      </c>
      <c r="B499" s="3"/>
      <c r="C499" s="336"/>
      <c r="V499" s="271" t="s">
        <v>33</v>
      </c>
      <c r="W499" s="163" t="s">
        <v>131</v>
      </c>
      <c r="X499" s="157"/>
      <c r="Y499" s="164" t="e">
        <f t="shared" si="228"/>
        <v>#N/A</v>
      </c>
      <c r="Z499" s="158" t="e">
        <f>+SUM(START:END!Z499)</f>
        <v>#N/A</v>
      </c>
      <c r="AA499" s="157"/>
      <c r="AB499" s="164">
        <f t="shared" si="229"/>
        <v>0</v>
      </c>
      <c r="AC499" s="158">
        <f>+SUM(START:END!AC499)</f>
        <v>0</v>
      </c>
      <c r="AD499" s="165"/>
      <c r="AE499" s="160">
        <f t="shared" si="230"/>
        <v>14.137137254901955</v>
      </c>
      <c r="AF499" s="158">
        <f>+SUM(START:END!AF499)</f>
        <v>3604.9699999999984</v>
      </c>
      <c r="AG499" s="159" t="e">
        <f t="shared" si="221"/>
        <v>#N/A</v>
      </c>
      <c r="AH499" s="160" t="e">
        <f t="shared" si="222"/>
        <v>#N/A</v>
      </c>
      <c r="AI499" s="161" t="e">
        <f t="shared" si="223"/>
        <v>#N/A</v>
      </c>
      <c r="AJ499" s="165"/>
      <c r="AK499" s="160">
        <f t="shared" si="231"/>
        <v>10.310268199233715</v>
      </c>
      <c r="AL499" s="158">
        <f t="shared" si="224"/>
        <v>2690.9799999999996</v>
      </c>
      <c r="AM499" s="162" t="e">
        <f t="shared" si="225"/>
        <v>#N/A</v>
      </c>
      <c r="AN499" s="160">
        <f t="shared" si="226"/>
        <v>913.98999999999887</v>
      </c>
      <c r="AO499" s="349">
        <f t="shared" si="227"/>
        <v>0.3396494957227475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tr">
        <f t="shared" si="220"/>
        <v>Entretien stock</v>
      </c>
      <c r="B500" s="3"/>
      <c r="C500" s="336"/>
      <c r="V500" s="272" t="s">
        <v>34</v>
      </c>
      <c r="W500" s="166"/>
      <c r="X500" s="145"/>
      <c r="Y500" s="167" t="e">
        <f t="shared" si="228"/>
        <v>#N/A</v>
      </c>
      <c r="Z500" s="146" t="e">
        <f>+SUM(START:END!Z500)</f>
        <v>#N/A</v>
      </c>
      <c r="AA500" s="145"/>
      <c r="AB500" s="167">
        <f t="shared" si="229"/>
        <v>0</v>
      </c>
      <c r="AC500" s="146">
        <f>+SUM(START:END!AC500)</f>
        <v>0</v>
      </c>
      <c r="AD500" s="168"/>
      <c r="AE500" s="148">
        <f t="shared" si="230"/>
        <v>43.778196078431371</v>
      </c>
      <c r="AF500" s="146">
        <f>+SUM(START:END!AF500)</f>
        <v>11163.44</v>
      </c>
      <c r="AG500" s="147" t="e">
        <f t="shared" si="221"/>
        <v>#N/A</v>
      </c>
      <c r="AH500" s="148" t="e">
        <f t="shared" si="222"/>
        <v>#N/A</v>
      </c>
      <c r="AI500" s="169" t="e">
        <f t="shared" si="223"/>
        <v>#N/A</v>
      </c>
      <c r="AJ500" s="168"/>
      <c r="AK500" s="148">
        <f t="shared" si="231"/>
        <v>0</v>
      </c>
      <c r="AL500" s="146">
        <f t="shared" si="224"/>
        <v>0</v>
      </c>
      <c r="AM500" s="350" t="e">
        <f t="shared" si="225"/>
        <v>#N/A</v>
      </c>
      <c r="AN500" s="148">
        <f t="shared" si="226"/>
        <v>11163.44</v>
      </c>
      <c r="AO500" s="343">
        <f t="shared" si="22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tr">
        <f t="shared" si="220"/>
        <v>Publicité 1</v>
      </c>
      <c r="B501" s="3"/>
      <c r="C501" s="336"/>
      <c r="V501" s="271" t="s">
        <v>35</v>
      </c>
      <c r="W501" s="163" t="s">
        <v>132</v>
      </c>
      <c r="X501" s="161"/>
      <c r="Y501" s="164" t="e">
        <f t="shared" si="228"/>
        <v>#N/A</v>
      </c>
      <c r="Z501" s="158" t="e">
        <f>+SUM(START:END!Z501)</f>
        <v>#N/A</v>
      </c>
      <c r="AA501" s="161"/>
      <c r="AB501" s="164">
        <f t="shared" si="229"/>
        <v>0</v>
      </c>
      <c r="AC501" s="158">
        <f>+SUM(START:END!AC501)</f>
        <v>0</v>
      </c>
      <c r="AD501" s="165"/>
      <c r="AE501" s="160">
        <f t="shared" si="230"/>
        <v>-40.026901960784258</v>
      </c>
      <c r="AF501" s="158">
        <f>+SUM(START:END!AF501)</f>
        <v>-10206.859999999986</v>
      </c>
      <c r="AG501" s="159" t="e">
        <f t="shared" si="221"/>
        <v>#N/A</v>
      </c>
      <c r="AH501" s="160" t="e">
        <f t="shared" si="222"/>
        <v>#N/A</v>
      </c>
      <c r="AI501" s="161" t="e">
        <f t="shared" si="223"/>
        <v>#N/A</v>
      </c>
      <c r="AJ501" s="165"/>
      <c r="AK501" s="160">
        <f t="shared" si="231"/>
        <v>-194.20524904214562</v>
      </c>
      <c r="AL501" s="158">
        <f t="shared" si="224"/>
        <v>-50687.570000000007</v>
      </c>
      <c r="AM501" s="162" t="e">
        <f t="shared" si="225"/>
        <v>#N/A</v>
      </c>
      <c r="AN501" s="160">
        <f t="shared" si="226"/>
        <v>40480.710000000021</v>
      </c>
      <c r="AO501" s="349">
        <f t="shared" si="227"/>
        <v>-0.79863189338135598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tr">
        <f t="shared" si="220"/>
        <v>Intérêt de gros</v>
      </c>
      <c r="B502" s="3"/>
      <c r="C502" s="336"/>
      <c r="V502" s="271" t="s">
        <v>36</v>
      </c>
      <c r="W502" s="163" t="s">
        <v>133</v>
      </c>
      <c r="X502" s="157"/>
      <c r="Y502" s="164" t="e">
        <f t="shared" si="228"/>
        <v>#N/A</v>
      </c>
      <c r="Z502" s="158" t="e">
        <f>+SUM(START:END!Z502)</f>
        <v>#N/A</v>
      </c>
      <c r="AA502" s="157"/>
      <c r="AB502" s="164">
        <f t="shared" si="229"/>
        <v>0</v>
      </c>
      <c r="AC502" s="158">
        <f>+SUM(START:END!AC502)</f>
        <v>0</v>
      </c>
      <c r="AD502" s="165"/>
      <c r="AE502" s="160">
        <f t="shared" si="230"/>
        <v>704.90337254901965</v>
      </c>
      <c r="AF502" s="158">
        <f>+SUM(START:END!AF502)</f>
        <v>179750.36000000002</v>
      </c>
      <c r="AG502" s="159" t="e">
        <f t="shared" si="221"/>
        <v>#N/A</v>
      </c>
      <c r="AH502" s="160" t="e">
        <f t="shared" si="222"/>
        <v>#N/A</v>
      </c>
      <c r="AI502" s="161" t="e">
        <f t="shared" si="223"/>
        <v>#N/A</v>
      </c>
      <c r="AJ502" s="165"/>
      <c r="AK502" s="160">
        <f t="shared" si="231"/>
        <v>958.62003831417599</v>
      </c>
      <c r="AL502" s="158">
        <f t="shared" si="224"/>
        <v>250199.82999999993</v>
      </c>
      <c r="AM502" s="162" t="e">
        <f>AE502-Y502</f>
        <v>#N/A</v>
      </c>
      <c r="AN502" s="160">
        <f>AF502-AL502</f>
        <v>-70449.469999999914</v>
      </c>
      <c r="AO502" s="349">
        <f t="shared" si="227"/>
        <v>-0.28157281321893757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tr">
        <f t="shared" si="220"/>
        <v>Crédit Intérêts Floor Plan</v>
      </c>
      <c r="B503" s="3"/>
      <c r="C503" s="336"/>
      <c r="V503" s="271" t="s">
        <v>302</v>
      </c>
      <c r="W503" s="163"/>
      <c r="X503" s="161"/>
      <c r="Y503" s="164" t="e">
        <f>Z503/(D$13+D$97)</f>
        <v>#N/A</v>
      </c>
      <c r="Z503" s="158">
        <f>+SUM(START:END!Z503)</f>
        <v>0</v>
      </c>
      <c r="AA503" s="157"/>
      <c r="AB503" s="164">
        <f>IF(AC503=0,0,AC503/(G$13+G$97))</f>
        <v>0</v>
      </c>
      <c r="AC503" s="158">
        <f>+SUM(START:END!AC503)</f>
        <v>0</v>
      </c>
      <c r="AD503" s="165"/>
      <c r="AE503" s="160">
        <f>IF(AF503=0,0,AF503/(J$13+J$97))</f>
        <v>-1278.9898823529409</v>
      </c>
      <c r="AF503" s="158">
        <f>+SUM(START:END!AF503)</f>
        <v>-326142.41999999993</v>
      </c>
      <c r="AG503" s="159" t="e">
        <f t="shared" si="221"/>
        <v>#N/A</v>
      </c>
      <c r="AH503" s="160">
        <f t="shared" si="222"/>
        <v>-326142.41999999993</v>
      </c>
      <c r="AI503" s="161">
        <f t="shared" si="223"/>
        <v>0</v>
      </c>
      <c r="AJ503" s="165"/>
      <c r="AK503" s="160">
        <f>AL503/(O$13+O$97)</f>
        <v>-1707.1430268199238</v>
      </c>
      <c r="AL503" s="158">
        <f t="shared" si="224"/>
        <v>-445564.33000000007</v>
      </c>
      <c r="AM503" s="162" t="e">
        <f>AE503-Y503</f>
        <v>#N/A</v>
      </c>
      <c r="AN503" s="160">
        <f>AF503-AL503</f>
        <v>119421.91000000015</v>
      </c>
      <c r="AO503" s="349">
        <f t="shared" si="227"/>
        <v>-0.26802394617181347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tr">
        <f t="shared" si="220"/>
        <v>Crédit Boni TD</v>
      </c>
      <c r="B504" s="3"/>
      <c r="C504" s="336"/>
      <c r="V504" s="271" t="s">
        <v>303</v>
      </c>
      <c r="W504" s="163"/>
      <c r="X504" s="161"/>
      <c r="Y504" s="164" t="e">
        <f>Z504/(D$13+D$97)</f>
        <v>#N/A</v>
      </c>
      <c r="Z504" s="158">
        <f>+SUM(START:END!Z504)</f>
        <v>0</v>
      </c>
      <c r="AA504" s="157"/>
      <c r="AB504" s="164">
        <f>IF(AC504=0,0,AC504/(G$13+G$97))</f>
        <v>0</v>
      </c>
      <c r="AC504" s="158">
        <f>+SUM(START:END!AC504)</f>
        <v>0</v>
      </c>
      <c r="AD504" s="165"/>
      <c r="AE504" s="160">
        <f>IF(AF504=0,0,AF504/(J$13+J$97))</f>
        <v>-165.93745098039219</v>
      </c>
      <c r="AF504" s="158">
        <f>+SUM(START:END!AF504)</f>
        <v>-42314.05000000001</v>
      </c>
      <c r="AG504" s="159" t="e">
        <f t="shared" si="221"/>
        <v>#N/A</v>
      </c>
      <c r="AH504" s="160">
        <f t="shared" si="222"/>
        <v>-42314.05000000001</v>
      </c>
      <c r="AI504" s="161">
        <f t="shared" si="223"/>
        <v>0</v>
      </c>
      <c r="AJ504" s="165"/>
      <c r="AK504" s="160">
        <f>AL504/(O$13+O$97)</f>
        <v>0</v>
      </c>
      <c r="AL504" s="158">
        <f t="shared" si="224"/>
        <v>0</v>
      </c>
      <c r="AM504" s="162" t="e">
        <f>AE504-Y504</f>
        <v>#N/A</v>
      </c>
      <c r="AN504" s="160">
        <f>AF504-AL504</f>
        <v>-42314.05000000001</v>
      </c>
      <c r="AO504" s="349">
        <f t="shared" si="22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260" t="str">
        <f t="shared" si="220"/>
        <v>[...]</v>
      </c>
      <c r="B505" s="3"/>
      <c r="C505" s="336"/>
      <c r="V505" s="271" t="s">
        <v>19</v>
      </c>
      <c r="W505" s="163"/>
      <c r="X505" s="157"/>
      <c r="Y505" s="164" t="e">
        <f>Z505/(D$13+D$97)</f>
        <v>#N/A</v>
      </c>
      <c r="Z505" s="158">
        <f>+SUM(START:END!Z505)</f>
        <v>0</v>
      </c>
      <c r="AA505" s="157"/>
      <c r="AB505" s="164">
        <f>IF(AC505=0,0,AC505/(G$13+G$97))</f>
        <v>0</v>
      </c>
      <c r="AC505" s="158">
        <f>+SUM(START:END!AC505)</f>
        <v>0</v>
      </c>
      <c r="AD505" s="165"/>
      <c r="AE505" s="160">
        <f>IF(AF505=0,0,AF505/(J$13+J$97))</f>
        <v>0</v>
      </c>
      <c r="AF505" s="158">
        <f>+SUM(START:END!AF505)</f>
        <v>0</v>
      </c>
      <c r="AG505" s="159" t="e">
        <f t="shared" si="221"/>
        <v>#N/A</v>
      </c>
      <c r="AH505" s="160">
        <f t="shared" si="222"/>
        <v>0</v>
      </c>
      <c r="AI505" s="161">
        <f t="shared" si="223"/>
        <v>0</v>
      </c>
      <c r="AJ505" s="165"/>
      <c r="AK505" s="160">
        <f>AL505/(O$13+O$97)</f>
        <v>0</v>
      </c>
      <c r="AL505" s="158"/>
      <c r="AM505" s="162" t="e">
        <f>AE505-Y505</f>
        <v>#N/A</v>
      </c>
      <c r="AN505" s="160">
        <f>AF505-AL505</f>
        <v>0</v>
      </c>
      <c r="AO505" s="349">
        <f t="shared" si="22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tr">
        <f t="shared" si="220"/>
        <v>TOTAL VARIABLES</v>
      </c>
      <c r="B506" s="3"/>
      <c r="C506" s="336"/>
      <c r="V506" s="351" t="s">
        <v>37</v>
      </c>
      <c r="W506" s="170"/>
      <c r="X506" s="171" t="e">
        <f>Z506/Z494</f>
        <v>#N/A</v>
      </c>
      <c r="Y506" s="170"/>
      <c r="Z506" s="172" t="e">
        <f>SUM(Z496:Z505)</f>
        <v>#N/A</v>
      </c>
      <c r="AA506" s="171" t="e">
        <f>AC506/AC494</f>
        <v>#DIV/0!</v>
      </c>
      <c r="AB506" s="170"/>
      <c r="AC506" s="172">
        <f>SUM(AC496:AC505)</f>
        <v>0</v>
      </c>
      <c r="AD506" s="173">
        <f>AF506/AF494</f>
        <v>7.0287959112369375E-2</v>
      </c>
      <c r="AE506" s="175"/>
      <c r="AF506" s="172">
        <f>SUM(AF496:AF505)</f>
        <v>115785.71000000011</v>
      </c>
      <c r="AG506" s="174"/>
      <c r="AH506" s="175" t="e">
        <f t="shared" si="222"/>
        <v>#N/A</v>
      </c>
      <c r="AI506" s="171" t="e">
        <f>AH506/Z506</f>
        <v>#N/A</v>
      </c>
      <c r="AJ506" s="173">
        <f>IF($AL$407=0,0,AL506/$AL$407)</f>
        <v>0</v>
      </c>
      <c r="AK506" s="175"/>
      <c r="AL506" s="172">
        <f>SUM(AL496:AL505)</f>
        <v>6448.2399999998161</v>
      </c>
      <c r="AM506" s="180"/>
      <c r="AN506" s="175">
        <f t="shared" ref="AN506:AN518" si="232">AF506-AL506</f>
        <v>109337.47000000029</v>
      </c>
      <c r="AO506" s="346">
        <f t="shared" si="227"/>
        <v>16.956172537002875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tr">
        <f t="shared" si="220"/>
        <v>Salaires propriétaire</v>
      </c>
      <c r="B507" s="3"/>
      <c r="C507" s="336"/>
      <c r="V507" s="271" t="s">
        <v>134</v>
      </c>
      <c r="W507" s="163" t="s">
        <v>135</v>
      </c>
      <c r="X507" s="157"/>
      <c r="Y507" s="157"/>
      <c r="Z507" s="158" t="e">
        <f>+SUM(START:END!Z507)</f>
        <v>#N/A</v>
      </c>
      <c r="AA507" s="157"/>
      <c r="AB507" s="157">
        <f t="shared" ref="AB507:AB517" si="233">IF(AC507=0,0,AC507/(G$13+G$97))</f>
        <v>0</v>
      </c>
      <c r="AC507" s="158">
        <f>+SUM(START:END!AC507)</f>
        <v>0</v>
      </c>
      <c r="AD507" s="165"/>
      <c r="AE507" s="164"/>
      <c r="AF507" s="158">
        <f>+SUM(START:END!AF507)</f>
        <v>30692.369999999995</v>
      </c>
      <c r="AG507" s="159"/>
      <c r="AH507" s="160" t="e">
        <f t="shared" si="222"/>
        <v>#N/A</v>
      </c>
      <c r="AI507" s="161" t="e">
        <f t="shared" ref="AI507:AI519" si="234">IF(Z507=0,0,AH507/Z507)</f>
        <v>#N/A</v>
      </c>
      <c r="AJ507" s="165"/>
      <c r="AK507" s="164"/>
      <c r="AL507" s="158">
        <f>+SUM(START:END!AL507)</f>
        <v>19089.539999999997</v>
      </c>
      <c r="AM507" s="162"/>
      <c r="AN507" s="160">
        <f t="shared" si="232"/>
        <v>11602.829999999998</v>
      </c>
      <c r="AO507" s="349">
        <f t="shared" si="227"/>
        <v>0.60781087443699533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tr">
        <f t="shared" si="220"/>
        <v>Salaires cadres</v>
      </c>
      <c r="B508" s="3"/>
      <c r="C508" s="336"/>
      <c r="V508" s="271" t="s">
        <v>40</v>
      </c>
      <c r="W508" s="163" t="s">
        <v>136</v>
      </c>
      <c r="X508" s="157"/>
      <c r="Y508" s="157"/>
      <c r="Z508" s="158" t="e">
        <f>+SUM(START:END!Z508)</f>
        <v>#N/A</v>
      </c>
      <c r="AA508" s="157"/>
      <c r="AB508" s="157">
        <f t="shared" si="233"/>
        <v>0</v>
      </c>
      <c r="AC508" s="158">
        <f>+SUM(START:END!AC508)</f>
        <v>0</v>
      </c>
      <c r="AD508" s="165"/>
      <c r="AE508" s="164"/>
      <c r="AF508" s="158">
        <f>+SUM(START:END!AF508)</f>
        <v>165364.53999999998</v>
      </c>
      <c r="AG508" s="159"/>
      <c r="AH508" s="160" t="e">
        <f t="shared" si="222"/>
        <v>#N/A</v>
      </c>
      <c r="AI508" s="161" t="e">
        <f t="shared" si="234"/>
        <v>#N/A</v>
      </c>
      <c r="AJ508" s="165"/>
      <c r="AK508" s="164"/>
      <c r="AL508" s="158">
        <f>+SUMIF($C:$C,$V508,Q:Q)</f>
        <v>160123.05000000005</v>
      </c>
      <c r="AM508" s="162"/>
      <c r="AN508" s="160">
        <f t="shared" si="232"/>
        <v>5241.4899999999325</v>
      </c>
      <c r="AO508" s="349">
        <f t="shared" si="227"/>
        <v>3.2734137902069256E-2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tr">
        <f t="shared" si="220"/>
        <v>Salaires commis</v>
      </c>
      <c r="B509" s="3"/>
      <c r="C509" s="336"/>
      <c r="V509" s="272" t="s">
        <v>41</v>
      </c>
      <c r="W509" s="166" t="s">
        <v>137</v>
      </c>
      <c r="X509" s="145"/>
      <c r="Y509" s="145"/>
      <c r="Z509" s="146" t="e">
        <f>+SUM(START:END!Z509)</f>
        <v>#N/A</v>
      </c>
      <c r="AA509" s="145"/>
      <c r="AB509" s="145">
        <f t="shared" si="233"/>
        <v>0</v>
      </c>
      <c r="AC509" s="146">
        <f>+SUM(START:END!AC509)</f>
        <v>0</v>
      </c>
      <c r="AD509" s="168"/>
      <c r="AE509" s="167"/>
      <c r="AF509" s="146">
        <f>+SUM(START:END!AF509)</f>
        <v>116602.84000000001</v>
      </c>
      <c r="AG509" s="147"/>
      <c r="AH509" s="148" t="e">
        <f t="shared" si="222"/>
        <v>#N/A</v>
      </c>
      <c r="AI509" s="169" t="e">
        <f t="shared" si="234"/>
        <v>#N/A</v>
      </c>
      <c r="AJ509" s="168"/>
      <c r="AK509" s="167"/>
      <c r="AL509" s="146">
        <f>+SUMIF($C:$C,$V509,Q:Q)</f>
        <v>245089.07</v>
      </c>
      <c r="AM509" s="150"/>
      <c r="AN509" s="148">
        <f t="shared" si="232"/>
        <v>-128486.23</v>
      </c>
      <c r="AO509" s="343">
        <f t="shared" si="227"/>
        <v>-0.52424300275814006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tr">
        <f t="shared" si="220"/>
        <v>Salaires autres</v>
      </c>
      <c r="B510" s="3"/>
      <c r="C510" s="336"/>
      <c r="V510" s="271" t="s">
        <v>42</v>
      </c>
      <c r="W510" s="163" t="s">
        <v>138</v>
      </c>
      <c r="X510" s="157"/>
      <c r="Y510" s="157"/>
      <c r="Z510" s="158" t="e">
        <f>+SUM(START:END!Z510)</f>
        <v>#N/A</v>
      </c>
      <c r="AA510" s="157"/>
      <c r="AB510" s="157">
        <f t="shared" si="233"/>
        <v>0</v>
      </c>
      <c r="AC510" s="158">
        <f>+SUM(START:END!AC510)</f>
        <v>0</v>
      </c>
      <c r="AD510" s="165"/>
      <c r="AE510" s="164"/>
      <c r="AF510" s="158">
        <f>+SUM(START:END!AF510)</f>
        <v>126811.56999999998</v>
      </c>
      <c r="AG510" s="159"/>
      <c r="AH510" s="160" t="e">
        <f t="shared" si="222"/>
        <v>#N/A</v>
      </c>
      <c r="AI510" s="161" t="e">
        <f t="shared" si="234"/>
        <v>#N/A</v>
      </c>
      <c r="AJ510" s="165"/>
      <c r="AK510" s="164"/>
      <c r="AL510" s="158">
        <f>+SUMIF($C:$C,$V510,Q:Q)</f>
        <v>274177.58999999997</v>
      </c>
      <c r="AM510" s="162"/>
      <c r="AN510" s="160">
        <f t="shared" si="232"/>
        <v>-147366.01999999999</v>
      </c>
      <c r="AO510" s="349">
        <f t="shared" si="227"/>
        <v>-0.53748382572040265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tr">
        <f t="shared" si="220"/>
        <v>Salaires spécialistes</v>
      </c>
      <c r="B511" s="3"/>
      <c r="C511" s="336"/>
      <c r="V511" s="271" t="s">
        <v>43</v>
      </c>
      <c r="W511" s="163" t="s">
        <v>139</v>
      </c>
      <c r="X511" s="157"/>
      <c r="Y511" s="157"/>
      <c r="Z511" s="158" t="e">
        <f>+SUM(START:END!Z511)</f>
        <v>#N/A</v>
      </c>
      <c r="AA511" s="157"/>
      <c r="AB511" s="157">
        <f t="shared" si="233"/>
        <v>0</v>
      </c>
      <c r="AC511" s="158">
        <f>+SUM(START:END!AC511)</f>
        <v>0</v>
      </c>
      <c r="AD511" s="165"/>
      <c r="AE511" s="164"/>
      <c r="AF511" s="158">
        <f>+SUM(START:END!AF511)</f>
        <v>34551.339999999997</v>
      </c>
      <c r="AG511" s="159"/>
      <c r="AH511" s="160" t="e">
        <f t="shared" si="222"/>
        <v>#N/A</v>
      </c>
      <c r="AI511" s="161" t="e">
        <f t="shared" si="234"/>
        <v>#N/A</v>
      </c>
      <c r="AJ511" s="165"/>
      <c r="AK511" s="164"/>
      <c r="AL511" s="158">
        <f>+SUMIF($C:$C,$V511,Q:Q)</f>
        <v>0</v>
      </c>
      <c r="AM511" s="162"/>
      <c r="AN511" s="160">
        <f t="shared" si="232"/>
        <v>34551.339999999997</v>
      </c>
      <c r="AO511" s="349">
        <f t="shared" si="22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260" t="str">
        <f t="shared" si="220"/>
        <v>[...]</v>
      </c>
      <c r="B512" s="3"/>
      <c r="C512" s="336"/>
      <c r="V512" s="271" t="s">
        <v>19</v>
      </c>
      <c r="W512" s="163"/>
      <c r="X512" s="157"/>
      <c r="Y512" s="157"/>
      <c r="Z512" s="158" t="e">
        <f>+SUM(START:END!Z512)</f>
        <v>#N/A</v>
      </c>
      <c r="AA512" s="157"/>
      <c r="AB512" s="157">
        <f t="shared" si="233"/>
        <v>0</v>
      </c>
      <c r="AC512" s="158">
        <f>+SUM(START:END!AC512)</f>
        <v>0</v>
      </c>
      <c r="AD512" s="165"/>
      <c r="AE512" s="164"/>
      <c r="AF512" s="158">
        <f>+SUM(START:END!AF512)</f>
        <v>0</v>
      </c>
      <c r="AG512" s="159"/>
      <c r="AH512" s="160" t="e">
        <f t="shared" si="222"/>
        <v>#N/A</v>
      </c>
      <c r="AI512" s="161" t="e">
        <f t="shared" si="234"/>
        <v>#N/A</v>
      </c>
      <c r="AJ512" s="165"/>
      <c r="AK512" s="164"/>
      <c r="AL512" s="158"/>
      <c r="AM512" s="162"/>
      <c r="AN512" s="160">
        <f t="shared" si="232"/>
        <v>0</v>
      </c>
      <c r="AO512" s="349">
        <f t="shared" si="22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260" t="str">
        <f t="shared" si="220"/>
        <v>[...]</v>
      </c>
      <c r="B513" s="3"/>
      <c r="C513" s="336"/>
      <c r="V513" s="271" t="s">
        <v>19</v>
      </c>
      <c r="W513" s="163"/>
      <c r="X513" s="157"/>
      <c r="Y513" s="157"/>
      <c r="Z513" s="158" t="e">
        <f>+SUM(START:END!Z513)</f>
        <v>#N/A</v>
      </c>
      <c r="AA513" s="157"/>
      <c r="AB513" s="157">
        <f t="shared" si="233"/>
        <v>0</v>
      </c>
      <c r="AC513" s="158">
        <f>+SUM(START:END!AC513)</f>
        <v>0</v>
      </c>
      <c r="AD513" s="165"/>
      <c r="AE513" s="164"/>
      <c r="AF513" s="158">
        <f>+SUM(START:END!AF513)</f>
        <v>0</v>
      </c>
      <c r="AG513" s="159"/>
      <c r="AH513" s="160" t="e">
        <f t="shared" si="222"/>
        <v>#N/A</v>
      </c>
      <c r="AI513" s="161" t="e">
        <f t="shared" si="234"/>
        <v>#N/A</v>
      </c>
      <c r="AJ513" s="165"/>
      <c r="AK513" s="164"/>
      <c r="AL513" s="158"/>
      <c r="AM513" s="162"/>
      <c r="AN513" s="160">
        <f t="shared" si="232"/>
        <v>0</v>
      </c>
      <c r="AO513" s="349">
        <f t="shared" si="22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260" t="str">
        <f t="shared" si="220"/>
        <v>[...]</v>
      </c>
      <c r="B514" s="3"/>
      <c r="C514" s="336"/>
      <c r="V514" s="271" t="s">
        <v>19</v>
      </c>
      <c r="W514" s="163"/>
      <c r="X514" s="157"/>
      <c r="Y514" s="157"/>
      <c r="Z514" s="158" t="e">
        <f>+SUM(START:END!Z514)</f>
        <v>#N/A</v>
      </c>
      <c r="AA514" s="157"/>
      <c r="AB514" s="157">
        <f t="shared" si="233"/>
        <v>0</v>
      </c>
      <c r="AC514" s="158">
        <f>+SUM(START:END!AC514)</f>
        <v>0</v>
      </c>
      <c r="AD514" s="165"/>
      <c r="AE514" s="164"/>
      <c r="AF514" s="158">
        <f>+SUM(START:END!AF514)</f>
        <v>0</v>
      </c>
      <c r="AG514" s="159"/>
      <c r="AH514" s="160" t="e">
        <f t="shared" si="222"/>
        <v>#N/A</v>
      </c>
      <c r="AI514" s="161" t="e">
        <f t="shared" si="234"/>
        <v>#N/A</v>
      </c>
      <c r="AJ514" s="165"/>
      <c r="AK514" s="164"/>
      <c r="AL514" s="158"/>
      <c r="AM514" s="162"/>
      <c r="AN514" s="160">
        <f t="shared" si="232"/>
        <v>0</v>
      </c>
      <c r="AO514" s="349">
        <f t="shared" si="22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tr">
        <f t="shared" si="220"/>
        <v>Salaires en absences</v>
      </c>
      <c r="B515" s="3"/>
      <c r="C515" s="336"/>
      <c r="V515" s="272" t="s">
        <v>44</v>
      </c>
      <c r="W515" s="166" t="s">
        <v>140</v>
      </c>
      <c r="X515" s="145"/>
      <c r="Y515" s="352"/>
      <c r="Z515" s="146" t="e">
        <f>+SUM(START:END!Z515)</f>
        <v>#N/A</v>
      </c>
      <c r="AA515" s="145"/>
      <c r="AB515" s="145">
        <f t="shared" si="233"/>
        <v>0</v>
      </c>
      <c r="AC515" s="146">
        <f>+SUM(START:END!AC515)</f>
        <v>0</v>
      </c>
      <c r="AD515" s="168"/>
      <c r="AE515" s="167"/>
      <c r="AF515" s="146">
        <f>+SUM(START:END!AF515)</f>
        <v>111783.58999999998</v>
      </c>
      <c r="AG515" s="147"/>
      <c r="AH515" s="148" t="e">
        <f t="shared" si="222"/>
        <v>#N/A</v>
      </c>
      <c r="AI515" s="169" t="e">
        <f t="shared" si="234"/>
        <v>#N/A</v>
      </c>
      <c r="AJ515" s="168"/>
      <c r="AK515" s="167"/>
      <c r="AL515" s="146">
        <f>+SUMIF($C:$C,$V515,Q:Q)</f>
        <v>111426.49</v>
      </c>
      <c r="AM515" s="150"/>
      <c r="AN515" s="148">
        <f t="shared" si="232"/>
        <v>357.09999999997672</v>
      </c>
      <c r="AO515" s="343">
        <f t="shared" si="227"/>
        <v>3.2048034538284093E-3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tr">
        <f t="shared" si="220"/>
        <v>Déduction à la source</v>
      </c>
      <c r="B516" s="3"/>
      <c r="C516" s="336"/>
      <c r="V516" s="271" t="s">
        <v>45</v>
      </c>
      <c r="W516" s="163" t="s">
        <v>141</v>
      </c>
      <c r="X516" s="157"/>
      <c r="Y516" s="353"/>
      <c r="Z516" s="158" t="e">
        <f>+SUM(START:END!Z516)</f>
        <v>#N/A</v>
      </c>
      <c r="AA516" s="157"/>
      <c r="AB516" s="157">
        <f t="shared" si="233"/>
        <v>0</v>
      </c>
      <c r="AC516" s="158">
        <f>+SUM(START:END!AC516)</f>
        <v>0</v>
      </c>
      <c r="AD516" s="165"/>
      <c r="AE516" s="164"/>
      <c r="AF516" s="158">
        <f>+SUM(START:END!AF516)</f>
        <v>140616.07</v>
      </c>
      <c r="AG516" s="159"/>
      <c r="AH516" s="160" t="e">
        <f t="shared" si="222"/>
        <v>#N/A</v>
      </c>
      <c r="AI516" s="161" t="e">
        <f t="shared" si="234"/>
        <v>#N/A</v>
      </c>
      <c r="AJ516" s="165"/>
      <c r="AK516" s="164"/>
      <c r="AL516" s="158">
        <f>+SUMIF($C:$C,$V516,Q:Q)</f>
        <v>131918.72</v>
      </c>
      <c r="AM516" s="162"/>
      <c r="AN516" s="160">
        <f t="shared" si="232"/>
        <v>8697.3500000000058</v>
      </c>
      <c r="AO516" s="349">
        <f t="shared" si="227"/>
        <v>6.5929611809453628E-2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tr">
        <f t="shared" si="220"/>
        <v>Bénéfices marginaux</v>
      </c>
      <c r="B517" s="3"/>
      <c r="C517" s="336"/>
      <c r="V517" s="271" t="s">
        <v>46</v>
      </c>
      <c r="W517" s="163" t="s">
        <v>142</v>
      </c>
      <c r="X517" s="157"/>
      <c r="Y517" s="353"/>
      <c r="Z517" s="158" t="e">
        <f>+SUM(START:END!Z517)</f>
        <v>#N/A</v>
      </c>
      <c r="AA517" s="157"/>
      <c r="AB517" s="157">
        <f t="shared" si="233"/>
        <v>0</v>
      </c>
      <c r="AC517" s="158">
        <f>+SUM(START:END!AC517)</f>
        <v>0</v>
      </c>
      <c r="AD517" s="165"/>
      <c r="AE517" s="164"/>
      <c r="AF517" s="158">
        <f>+SUM(START:END!AF517)</f>
        <v>30745.080000000005</v>
      </c>
      <c r="AG517" s="159"/>
      <c r="AH517" s="160" t="e">
        <f t="shared" si="222"/>
        <v>#N/A</v>
      </c>
      <c r="AI517" s="161" t="e">
        <f t="shared" si="234"/>
        <v>#N/A</v>
      </c>
      <c r="AJ517" s="165"/>
      <c r="AK517" s="164"/>
      <c r="AL517" s="158">
        <f>+SUMIF($C:$C,$V517,Q:Q)</f>
        <v>60651.01</v>
      </c>
      <c r="AM517" s="162"/>
      <c r="AN517" s="160">
        <f t="shared" si="232"/>
        <v>-29905.929999999997</v>
      </c>
      <c r="AO517" s="349">
        <f t="shared" si="227"/>
        <v>-0.49308214323223959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tr">
        <f t="shared" si="220"/>
        <v>Csst</v>
      </c>
      <c r="B518" s="3"/>
      <c r="C518" s="336"/>
      <c r="V518" s="271" t="s">
        <v>47</v>
      </c>
      <c r="W518" s="163"/>
      <c r="X518" s="157"/>
      <c r="Y518" s="157"/>
      <c r="Z518" s="158" t="e">
        <f>+SUM(START:END!Z518)</f>
        <v>#N/A</v>
      </c>
      <c r="AA518" s="157"/>
      <c r="AB518" s="157">
        <f>IF(AC518=0,0,AC518/(G$13+G$97))</f>
        <v>0</v>
      </c>
      <c r="AC518" s="158">
        <f>+SUM(START:END!AC518)</f>
        <v>0</v>
      </c>
      <c r="AD518" s="165"/>
      <c r="AE518" s="164"/>
      <c r="AF518" s="158">
        <f>+SUM(START:END!AF518)</f>
        <v>41685.55000000001</v>
      </c>
      <c r="AG518" s="159"/>
      <c r="AH518" s="160" t="e">
        <f t="shared" si="222"/>
        <v>#N/A</v>
      </c>
      <c r="AI518" s="177" t="e">
        <f t="shared" si="234"/>
        <v>#N/A</v>
      </c>
      <c r="AJ518" s="165"/>
      <c r="AK518" s="164"/>
      <c r="AL518" s="158">
        <f>+SUMIF($C:$C,$V518,Q:Q)</f>
        <v>3409.7499999999995</v>
      </c>
      <c r="AM518" s="162"/>
      <c r="AN518" s="160">
        <f t="shared" si="232"/>
        <v>38275.80000000001</v>
      </c>
      <c r="AO518" s="349">
        <f t="shared" si="227"/>
        <v>11.225397756433761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260" t="str">
        <f t="shared" si="220"/>
        <v>[...]</v>
      </c>
      <c r="B519" s="3"/>
      <c r="C519" s="336"/>
      <c r="V519" s="26" t="s">
        <v>19</v>
      </c>
      <c r="W519" s="163"/>
      <c r="X519" s="157"/>
      <c r="Y519" s="164"/>
      <c r="Z519" s="158">
        <f>+SUM(START:END!Z519)</f>
        <v>0</v>
      </c>
      <c r="AA519" s="157"/>
      <c r="AB519" s="157">
        <f>IF(AC519=0,0,AC519/(G$13+G$97))</f>
        <v>0</v>
      </c>
      <c r="AC519" s="158">
        <f>+SUM(START:END!AC519)</f>
        <v>0</v>
      </c>
      <c r="AD519" s="165"/>
      <c r="AE519" s="164"/>
      <c r="AF519" s="158">
        <f>+SUM(START:END!AF519)</f>
        <v>0</v>
      </c>
      <c r="AG519" s="159"/>
      <c r="AH519" s="160">
        <f t="shared" si="222"/>
        <v>0</v>
      </c>
      <c r="AI519" s="161">
        <f t="shared" si="234"/>
        <v>0</v>
      </c>
      <c r="AJ519" s="165"/>
      <c r="AK519" s="164">
        <f>AL519/(O$13+O$97)</f>
        <v>0</v>
      </c>
      <c r="AL519" s="158"/>
      <c r="AM519" s="162"/>
      <c r="AN519" s="160"/>
      <c r="AO519" s="343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tr">
        <f t="shared" si="220"/>
        <v>TOTAL PERSONNEL</v>
      </c>
      <c r="B520" s="3"/>
      <c r="C520" s="336"/>
      <c r="V520" s="351" t="s">
        <v>48</v>
      </c>
      <c r="W520" s="170"/>
      <c r="X520" s="171" t="e">
        <f>Z520/Z494</f>
        <v>#N/A</v>
      </c>
      <c r="Y520" s="170"/>
      <c r="Z520" s="172" t="e">
        <f>SUM(Z507:Z519)</f>
        <v>#N/A</v>
      </c>
      <c r="AA520" s="171" t="e">
        <f>AC520/AC494</f>
        <v>#DIV/0!</v>
      </c>
      <c r="AB520" s="170"/>
      <c r="AC520" s="172">
        <f>SUM(AC507:AC519)</f>
        <v>0</v>
      </c>
      <c r="AD520" s="173">
        <f>AF520/AF494</f>
        <v>0.48494536576573738</v>
      </c>
      <c r="AE520" s="178"/>
      <c r="AF520" s="172">
        <f>SUM(AF507:AF519)</f>
        <v>798852.94999999984</v>
      </c>
      <c r="AG520" s="174"/>
      <c r="AH520" s="175" t="e">
        <f t="shared" si="222"/>
        <v>#N/A</v>
      </c>
      <c r="AI520" s="171" t="e">
        <f>AH520/Z520</f>
        <v>#N/A</v>
      </c>
      <c r="AJ520" s="173">
        <f>IF($AL$407=0,0,AL520/$AL$407)</f>
        <v>0</v>
      </c>
      <c r="AK520" s="178"/>
      <c r="AL520" s="172">
        <f>SUM(AL507:AL519)</f>
        <v>1005885.22</v>
      </c>
      <c r="AM520" s="180"/>
      <c r="AN520" s="175">
        <f t="shared" ref="AN520:AN526" si="235">AF520-AL520</f>
        <v>-207032.27000000014</v>
      </c>
      <c r="AO520" s="346">
        <f>IF(AL520=0,0,AN520/AL520)</f>
        <v>-0.20582096832081909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tr">
        <f t="shared" si="220"/>
        <v>Publicité 2</v>
      </c>
      <c r="B521" s="3"/>
      <c r="C521" s="336"/>
      <c r="V521" s="329" t="s">
        <v>49</v>
      </c>
      <c r="W521" s="181" t="s">
        <v>132</v>
      </c>
      <c r="X521" s="182"/>
      <c r="Y521" s="182"/>
      <c r="Z521" s="183" t="e">
        <f>+SUM(START:END!Z521)</f>
        <v>#N/A</v>
      </c>
      <c r="AA521" s="182"/>
      <c r="AB521" s="182">
        <f t="shared" ref="AB521:AB538" si="236">IF(AC521=0,0,AC521/(G$13+G$97))</f>
        <v>0</v>
      </c>
      <c r="AC521" s="183">
        <f>+SUM(START:END!AC521)</f>
        <v>0</v>
      </c>
      <c r="AD521" s="184"/>
      <c r="AE521" s="185"/>
      <c r="AF521" s="183">
        <f>+SUM(START:END!AF521)</f>
        <v>11033.48</v>
      </c>
      <c r="AG521" s="184"/>
      <c r="AH521" s="186" t="e">
        <f t="shared" si="222"/>
        <v>#N/A</v>
      </c>
      <c r="AI521" s="187" t="e">
        <f t="shared" ref="AI521:AI538" si="237">IF(Z521=0,0,AH521/Z521)</f>
        <v>#N/A</v>
      </c>
      <c r="AJ521" s="184"/>
      <c r="AK521" s="185"/>
      <c r="AL521" s="183">
        <f t="shared" ref="AL521:AL534" si="238">+SUMIF($C:$C,$V521,Q:Q)</f>
        <v>10947.99</v>
      </c>
      <c r="AM521" s="188"/>
      <c r="AN521" s="186">
        <f t="shared" si="235"/>
        <v>85.489999999999782</v>
      </c>
      <c r="AO521" s="348">
        <f t="shared" ref="AO521:AO526" si="239">IF(AL521=0,0,AN521/AL521)</f>
        <v>7.8087393210991042E-3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tr">
        <f t="shared" si="220"/>
        <v>Service gratuit 2</v>
      </c>
      <c r="B522" s="3"/>
      <c r="C522" s="336"/>
      <c r="V522" s="271" t="s">
        <v>50</v>
      </c>
      <c r="W522" s="163" t="s">
        <v>143</v>
      </c>
      <c r="X522" s="157"/>
      <c r="Y522" s="157"/>
      <c r="Z522" s="158" t="e">
        <f>+SUM(START:END!Z522)</f>
        <v>#N/A</v>
      </c>
      <c r="AA522" s="157"/>
      <c r="AB522" s="157">
        <f t="shared" si="236"/>
        <v>0</v>
      </c>
      <c r="AC522" s="158">
        <f>+SUM(START:END!AC522)</f>
        <v>0</v>
      </c>
      <c r="AD522" s="165"/>
      <c r="AE522" s="164"/>
      <c r="AF522" s="158">
        <f>+SUM(START:END!AF522)</f>
        <v>17538.78</v>
      </c>
      <c r="AG522" s="159"/>
      <c r="AH522" s="160" t="e">
        <f t="shared" si="222"/>
        <v>#N/A</v>
      </c>
      <c r="AI522" s="161" t="e">
        <f t="shared" si="237"/>
        <v>#N/A</v>
      </c>
      <c r="AJ522" s="165"/>
      <c r="AK522" s="164"/>
      <c r="AL522" s="158">
        <f t="shared" si="238"/>
        <v>11193.29</v>
      </c>
      <c r="AM522" s="162"/>
      <c r="AN522" s="160">
        <f t="shared" si="235"/>
        <v>6345.489999999998</v>
      </c>
      <c r="AO522" s="349">
        <f t="shared" si="239"/>
        <v>0.56690124172606959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tr">
        <f t="shared" si="220"/>
        <v>Frais véhicules de cie</v>
      </c>
      <c r="B523" s="3"/>
      <c r="C523" s="336"/>
      <c r="U523" s="354"/>
      <c r="V523" s="272" t="s">
        <v>51</v>
      </c>
      <c r="W523" s="166" t="s">
        <v>144</v>
      </c>
      <c r="X523" s="145"/>
      <c r="Y523" s="145"/>
      <c r="Z523" s="146" t="e">
        <f>+SUM(START:END!Z523)</f>
        <v>#N/A</v>
      </c>
      <c r="AA523" s="145"/>
      <c r="AB523" s="145">
        <f t="shared" si="236"/>
        <v>0</v>
      </c>
      <c r="AC523" s="146">
        <f>+SUM(START:END!AC523)</f>
        <v>0</v>
      </c>
      <c r="AD523" s="168"/>
      <c r="AE523" s="167"/>
      <c r="AF523" s="146">
        <f>+SUM(START:END!AF523)</f>
        <v>65918.819999999992</v>
      </c>
      <c r="AG523" s="147"/>
      <c r="AH523" s="148" t="e">
        <f t="shared" si="222"/>
        <v>#N/A</v>
      </c>
      <c r="AI523" s="169" t="e">
        <f t="shared" si="237"/>
        <v>#N/A</v>
      </c>
      <c r="AJ523" s="168"/>
      <c r="AK523" s="167"/>
      <c r="AL523" s="146">
        <f t="shared" si="238"/>
        <v>47768.249999999985</v>
      </c>
      <c r="AM523" s="150"/>
      <c r="AN523" s="148">
        <f t="shared" si="235"/>
        <v>18150.570000000007</v>
      </c>
      <c r="AO523" s="343">
        <f t="shared" si="239"/>
        <v>0.37997142453407884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tr">
        <f t="shared" si="220"/>
        <v>Informatique</v>
      </c>
      <c r="B524" s="3"/>
      <c r="C524" s="336"/>
      <c r="U524" s="354"/>
      <c r="V524" s="271" t="s">
        <v>52</v>
      </c>
      <c r="W524" s="163" t="s">
        <v>145</v>
      </c>
      <c r="X524" s="157"/>
      <c r="Y524" s="157"/>
      <c r="Z524" s="158" t="e">
        <f>+SUM(START:END!Z524)</f>
        <v>#N/A</v>
      </c>
      <c r="AA524" s="157"/>
      <c r="AB524" s="157">
        <f t="shared" si="236"/>
        <v>0</v>
      </c>
      <c r="AC524" s="158">
        <f>+SUM(START:END!AC524)</f>
        <v>0</v>
      </c>
      <c r="AD524" s="165"/>
      <c r="AE524" s="164"/>
      <c r="AF524" s="158">
        <f>+SUM(START:END!AF524)</f>
        <v>43971.67</v>
      </c>
      <c r="AG524" s="159"/>
      <c r="AH524" s="160" t="e">
        <f>AF524-Z524</f>
        <v>#N/A</v>
      </c>
      <c r="AI524" s="161" t="e">
        <f t="shared" si="237"/>
        <v>#N/A</v>
      </c>
      <c r="AJ524" s="165"/>
      <c r="AK524" s="164"/>
      <c r="AL524" s="158">
        <f t="shared" si="238"/>
        <v>37679.209999999992</v>
      </c>
      <c r="AM524" s="162"/>
      <c r="AN524" s="160">
        <f t="shared" si="235"/>
        <v>6292.4600000000064</v>
      </c>
      <c r="AO524" s="349">
        <f t="shared" si="239"/>
        <v>0.16700084741691792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tr">
        <f t="shared" si="220"/>
        <v>Frais de déplacement</v>
      </c>
      <c r="B525" s="3"/>
      <c r="C525" s="336"/>
      <c r="U525" s="354"/>
      <c r="V525" s="271" t="s">
        <v>53</v>
      </c>
      <c r="W525" s="163" t="s">
        <v>146</v>
      </c>
      <c r="X525" s="157"/>
      <c r="Y525" s="157"/>
      <c r="Z525" s="158" t="e">
        <f>+SUM(START:END!Z525)</f>
        <v>#N/A</v>
      </c>
      <c r="AA525" s="157"/>
      <c r="AB525" s="157">
        <f t="shared" si="236"/>
        <v>0</v>
      </c>
      <c r="AC525" s="158">
        <f>+SUM(START:END!AC525)</f>
        <v>0</v>
      </c>
      <c r="AD525" s="165"/>
      <c r="AE525" s="164"/>
      <c r="AF525" s="158">
        <f>+SUM(START:END!AF525)</f>
        <v>3148.17</v>
      </c>
      <c r="AG525" s="159"/>
      <c r="AH525" s="160" t="e">
        <f t="shared" ref="AH525:AH538" si="240">AF525-Z525</f>
        <v>#N/A</v>
      </c>
      <c r="AI525" s="161" t="e">
        <f t="shared" si="237"/>
        <v>#N/A</v>
      </c>
      <c r="AJ525" s="165"/>
      <c r="AK525" s="164"/>
      <c r="AL525" s="158">
        <f t="shared" si="238"/>
        <v>43844.87000000001</v>
      </c>
      <c r="AM525" s="162"/>
      <c r="AN525" s="160">
        <f t="shared" si="235"/>
        <v>-40696.700000000012</v>
      </c>
      <c r="AO525" s="349">
        <f t="shared" si="239"/>
        <v>-0.92819752915221332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tr">
        <f t="shared" si="220"/>
        <v>Services extérieurs</v>
      </c>
      <c r="B526" s="3"/>
      <c r="C526" s="336"/>
      <c r="V526" s="271" t="s">
        <v>54</v>
      </c>
      <c r="W526" s="163" t="s">
        <v>147</v>
      </c>
      <c r="X526" s="157"/>
      <c r="Y526" s="157"/>
      <c r="Z526" s="158" t="e">
        <f>+SUM(START:END!Z526)</f>
        <v>#N/A</v>
      </c>
      <c r="AA526" s="157"/>
      <c r="AB526" s="157">
        <f t="shared" si="236"/>
        <v>0</v>
      </c>
      <c r="AC526" s="158">
        <f>+SUM(START:END!AC526)</f>
        <v>0</v>
      </c>
      <c r="AD526" s="165"/>
      <c r="AE526" s="164"/>
      <c r="AF526" s="158">
        <f>+SUM(START:END!AF526)</f>
        <v>63340.14</v>
      </c>
      <c r="AG526" s="159"/>
      <c r="AH526" s="160" t="e">
        <f t="shared" si="240"/>
        <v>#N/A</v>
      </c>
      <c r="AI526" s="161" t="e">
        <f t="shared" si="237"/>
        <v>#N/A</v>
      </c>
      <c r="AJ526" s="165"/>
      <c r="AK526" s="164"/>
      <c r="AL526" s="158">
        <f t="shared" si="238"/>
        <v>95329.529999999984</v>
      </c>
      <c r="AM526" s="162"/>
      <c r="AN526" s="160">
        <f t="shared" si="235"/>
        <v>-31989.389999999985</v>
      </c>
      <c r="AO526" s="349">
        <f t="shared" si="239"/>
        <v>-0.33556642941594267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6"/>
      <c r="V527" s="329" t="s">
        <v>93</v>
      </c>
      <c r="W527" s="181"/>
      <c r="X527" s="182"/>
      <c r="Y527" s="182"/>
      <c r="Z527" s="183">
        <f>+SUM(START:END!Z527)</f>
        <v>0</v>
      </c>
      <c r="AA527" s="182"/>
      <c r="AB527" s="182">
        <f t="shared" si="236"/>
        <v>0</v>
      </c>
      <c r="AC527" s="183">
        <f>+SUM(START:END!AC527)</f>
        <v>0</v>
      </c>
      <c r="AD527" s="184"/>
      <c r="AE527" s="185"/>
      <c r="AF527" s="183">
        <f>+SUM(START:END!AF527)</f>
        <v>0</v>
      </c>
      <c r="AG527" s="355"/>
      <c r="AH527" s="186">
        <f t="shared" si="240"/>
        <v>0</v>
      </c>
      <c r="AI527" s="187">
        <f t="shared" si="237"/>
        <v>0</v>
      </c>
      <c r="AJ527" s="184"/>
      <c r="AK527" s="185"/>
      <c r="AL527" s="183">
        <f t="shared" si="238"/>
        <v>0</v>
      </c>
      <c r="AM527" s="188"/>
      <c r="AN527" s="186">
        <f>AF527-AL527</f>
        <v>0</v>
      </c>
      <c r="AO527" s="348">
        <f>IF(AL527=0,0,AN527/AL527)</f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tr">
        <f t="shared" ref="A528:A586" si="241">+U528&amp;V528</f>
        <v>Fournitures autres</v>
      </c>
      <c r="B528" s="3"/>
      <c r="C528" s="336"/>
      <c r="V528" s="271" t="s">
        <v>55</v>
      </c>
      <c r="W528" s="163" t="s">
        <v>148</v>
      </c>
      <c r="X528" s="157"/>
      <c r="Y528" s="164"/>
      <c r="Z528" s="158" t="e">
        <f>+SUM(START:END!Z528)</f>
        <v>#N/A</v>
      </c>
      <c r="AA528" s="157"/>
      <c r="AB528" s="164">
        <f t="shared" si="236"/>
        <v>0</v>
      </c>
      <c r="AC528" s="158">
        <f>+SUM(START:END!AC528)</f>
        <v>0</v>
      </c>
      <c r="AD528" s="165"/>
      <c r="AE528" s="164"/>
      <c r="AF528" s="158">
        <f>+SUM(START:END!AF528)</f>
        <v>32179.550000000003</v>
      </c>
      <c r="AG528" s="159"/>
      <c r="AH528" s="160" t="e">
        <f t="shared" si="240"/>
        <v>#N/A</v>
      </c>
      <c r="AI528" s="161" t="e">
        <f t="shared" si="237"/>
        <v>#N/A</v>
      </c>
      <c r="AJ528" s="165"/>
      <c r="AK528" s="164"/>
      <c r="AL528" s="158">
        <f t="shared" si="238"/>
        <v>31966.179999999997</v>
      </c>
      <c r="AM528" s="162"/>
      <c r="AN528" s="160">
        <f t="shared" ref="AN528:AN534" si="242">AF528-AL528</f>
        <v>213.37000000000626</v>
      </c>
      <c r="AO528" s="349">
        <f t="shared" ref="AO528:AO534" si="243">IF(AL528=0,0,AN528/AL528)</f>
        <v>6.6748670000608855E-3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tr">
        <f t="shared" si="241"/>
        <v>Uniformes</v>
      </c>
      <c r="B529" s="3"/>
      <c r="C529" s="336"/>
      <c r="U529" s="6"/>
      <c r="V529" s="271" t="s">
        <v>56</v>
      </c>
      <c r="W529" s="163" t="s">
        <v>149</v>
      </c>
      <c r="X529" s="157"/>
      <c r="Y529" s="157"/>
      <c r="Z529" s="158" t="e">
        <f>+SUM(START:END!Z529)</f>
        <v>#N/A</v>
      </c>
      <c r="AA529" s="157"/>
      <c r="AB529" s="157">
        <f t="shared" si="236"/>
        <v>0</v>
      </c>
      <c r="AC529" s="158">
        <f>+SUM(START:END!AC529)</f>
        <v>0</v>
      </c>
      <c r="AD529" s="165"/>
      <c r="AE529" s="164"/>
      <c r="AF529" s="158">
        <f>+SUM(START:END!AF529)</f>
        <v>4869.74</v>
      </c>
      <c r="AG529" s="159"/>
      <c r="AH529" s="160" t="e">
        <f t="shared" si="240"/>
        <v>#N/A</v>
      </c>
      <c r="AI529" s="177" t="e">
        <f t="shared" si="237"/>
        <v>#N/A</v>
      </c>
      <c r="AJ529" s="165"/>
      <c r="AK529" s="164"/>
      <c r="AL529" s="158">
        <f t="shared" si="238"/>
        <v>0</v>
      </c>
      <c r="AM529" s="162"/>
      <c r="AN529" s="160">
        <f t="shared" si="242"/>
        <v>4869.74</v>
      </c>
      <c r="AO529" s="349">
        <f t="shared" si="243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tr">
        <f t="shared" si="241"/>
        <v>Papeterie</v>
      </c>
      <c r="B530" s="3"/>
      <c r="C530" s="336"/>
      <c r="T530" s="6"/>
      <c r="U530" s="6"/>
      <c r="V530" s="271" t="s">
        <v>57</v>
      </c>
      <c r="W530" s="163" t="s">
        <v>150</v>
      </c>
      <c r="X530" s="157"/>
      <c r="Y530" s="157"/>
      <c r="Z530" s="158" t="e">
        <f>+SUM(START:END!Z530)</f>
        <v>#N/A</v>
      </c>
      <c r="AA530" s="157"/>
      <c r="AB530" s="157">
        <f t="shared" si="236"/>
        <v>0</v>
      </c>
      <c r="AC530" s="158">
        <f>+SUM(START:END!AC530)</f>
        <v>0</v>
      </c>
      <c r="AD530" s="165"/>
      <c r="AE530" s="164"/>
      <c r="AF530" s="158">
        <f>+SUM(START:END!AF530)</f>
        <v>8743.6799999999985</v>
      </c>
      <c r="AG530" s="159"/>
      <c r="AH530" s="160" t="e">
        <f t="shared" si="240"/>
        <v>#N/A</v>
      </c>
      <c r="AI530" s="161" t="e">
        <f t="shared" si="237"/>
        <v>#N/A</v>
      </c>
      <c r="AJ530" s="165"/>
      <c r="AK530" s="164"/>
      <c r="AL530" s="158">
        <f t="shared" si="238"/>
        <v>13250.81</v>
      </c>
      <c r="AM530" s="162"/>
      <c r="AN530" s="160">
        <f t="shared" si="242"/>
        <v>-4507.130000000001</v>
      </c>
      <c r="AO530" s="349">
        <f t="shared" si="243"/>
        <v>-0.34013996125519885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tr">
        <f t="shared" si="241"/>
        <v>Téléphone</v>
      </c>
      <c r="B531" s="3"/>
      <c r="C531" s="336"/>
      <c r="T531" s="6"/>
      <c r="U531" s="6"/>
      <c r="V531" s="271" t="s">
        <v>58</v>
      </c>
      <c r="W531" s="163" t="s">
        <v>151</v>
      </c>
      <c r="X531" s="157"/>
      <c r="Y531" s="157"/>
      <c r="Z531" s="158" t="e">
        <f>+SUM(START:END!Z531)</f>
        <v>#N/A</v>
      </c>
      <c r="AA531" s="157"/>
      <c r="AB531" s="157">
        <f t="shared" si="236"/>
        <v>0</v>
      </c>
      <c r="AC531" s="158">
        <f>+SUM(START:END!AC531)</f>
        <v>0</v>
      </c>
      <c r="AD531" s="165"/>
      <c r="AE531" s="164"/>
      <c r="AF531" s="158">
        <f>+SUM(START:END!AF531)</f>
        <v>7349.43</v>
      </c>
      <c r="AG531" s="159"/>
      <c r="AH531" s="160" t="e">
        <f t="shared" si="240"/>
        <v>#N/A</v>
      </c>
      <c r="AI531" s="177" t="e">
        <f t="shared" si="237"/>
        <v>#N/A</v>
      </c>
      <c r="AJ531" s="165"/>
      <c r="AK531" s="164"/>
      <c r="AL531" s="158">
        <f t="shared" si="238"/>
        <v>7353.3700000000008</v>
      </c>
      <c r="AM531" s="162"/>
      <c r="AN531" s="160">
        <f t="shared" si="242"/>
        <v>-3.9400000000005093</v>
      </c>
      <c r="AO531" s="349">
        <f t="shared" si="243"/>
        <v>-5.3580875163367395E-4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tr">
        <f t="shared" si="241"/>
        <v>Frais postaux</v>
      </c>
      <c r="B532" s="3"/>
      <c r="C532" s="336"/>
      <c r="T532" s="6"/>
      <c r="U532" s="6"/>
      <c r="V532" s="271" t="s">
        <v>59</v>
      </c>
      <c r="W532" s="163" t="s">
        <v>152</v>
      </c>
      <c r="X532" s="157"/>
      <c r="Y532" s="157"/>
      <c r="Z532" s="158" t="e">
        <f>+SUM(START:END!Z532)</f>
        <v>#N/A</v>
      </c>
      <c r="AA532" s="157"/>
      <c r="AB532" s="157">
        <f t="shared" si="236"/>
        <v>0</v>
      </c>
      <c r="AC532" s="158">
        <f>+SUM(START:END!AC532)</f>
        <v>0</v>
      </c>
      <c r="AD532" s="165"/>
      <c r="AE532" s="164"/>
      <c r="AF532" s="158">
        <f>+SUM(START:END!AF532)</f>
        <v>11542.779999999999</v>
      </c>
      <c r="AG532" s="159"/>
      <c r="AH532" s="160" t="e">
        <f t="shared" si="240"/>
        <v>#N/A</v>
      </c>
      <c r="AI532" s="161" t="e">
        <f t="shared" si="237"/>
        <v>#N/A</v>
      </c>
      <c r="AJ532" s="165"/>
      <c r="AK532" s="164"/>
      <c r="AL532" s="158">
        <f t="shared" si="238"/>
        <v>14231.84</v>
      </c>
      <c r="AM532" s="162"/>
      <c r="AN532" s="160">
        <f t="shared" si="242"/>
        <v>-2689.0600000000013</v>
      </c>
      <c r="AO532" s="349">
        <f t="shared" si="243"/>
        <v>-0.18894675600625085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tr">
        <f t="shared" si="241"/>
        <v>Divers</v>
      </c>
      <c r="B533" s="3"/>
      <c r="C533" s="336"/>
      <c r="T533" s="6"/>
      <c r="U533" s="6"/>
      <c r="V533" s="271" t="s">
        <v>60</v>
      </c>
      <c r="W533" s="163" t="s">
        <v>153</v>
      </c>
      <c r="X533" s="157"/>
      <c r="Y533" s="164"/>
      <c r="Z533" s="158" t="e">
        <f>+SUM(START:END!Z533)</f>
        <v>#N/A</v>
      </c>
      <c r="AA533" s="157"/>
      <c r="AB533" s="164">
        <f t="shared" si="236"/>
        <v>0</v>
      </c>
      <c r="AC533" s="158">
        <f>+SUM(START:END!AC533)</f>
        <v>0</v>
      </c>
      <c r="AD533" s="165"/>
      <c r="AE533" s="164"/>
      <c r="AF533" s="158">
        <f>+SUM(START:END!AF533)</f>
        <v>19556.759999999995</v>
      </c>
      <c r="AG533" s="159"/>
      <c r="AH533" s="160" t="e">
        <f t="shared" si="240"/>
        <v>#N/A</v>
      </c>
      <c r="AI533" s="177" t="e">
        <f t="shared" si="237"/>
        <v>#N/A</v>
      </c>
      <c r="AJ533" s="165"/>
      <c r="AK533" s="164"/>
      <c r="AL533" s="158">
        <f t="shared" si="238"/>
        <v>34752.080000000002</v>
      </c>
      <c r="AM533" s="162"/>
      <c r="AN533" s="160">
        <f t="shared" si="242"/>
        <v>-15195.320000000007</v>
      </c>
      <c r="AO533" s="349">
        <f t="shared" si="243"/>
        <v>-0.43724922364359214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tr">
        <f t="shared" si="241"/>
        <v>Formation</v>
      </c>
      <c r="B534" s="3"/>
      <c r="C534" s="336"/>
      <c r="T534" s="6"/>
      <c r="U534" s="6"/>
      <c r="V534" s="271" t="s">
        <v>61</v>
      </c>
      <c r="W534" s="163" t="s">
        <v>154</v>
      </c>
      <c r="X534" s="157"/>
      <c r="Y534" s="164"/>
      <c r="Z534" s="158" t="e">
        <f>+SUM(START:END!Z534)</f>
        <v>#N/A</v>
      </c>
      <c r="AA534" s="157"/>
      <c r="AB534" s="164">
        <f t="shared" si="236"/>
        <v>0</v>
      </c>
      <c r="AC534" s="158">
        <f>+SUM(START:END!AC534)</f>
        <v>0</v>
      </c>
      <c r="AD534" s="165"/>
      <c r="AE534" s="164"/>
      <c r="AF534" s="158">
        <f>+SUM(START:END!AF534)</f>
        <v>12089.19</v>
      </c>
      <c r="AG534" s="159"/>
      <c r="AH534" s="160" t="e">
        <f t="shared" si="240"/>
        <v>#N/A</v>
      </c>
      <c r="AI534" s="161" t="e">
        <f t="shared" si="237"/>
        <v>#N/A</v>
      </c>
      <c r="AJ534" s="165"/>
      <c r="AK534" s="164"/>
      <c r="AL534" s="158">
        <f t="shared" si="238"/>
        <v>11209.950000000003</v>
      </c>
      <c r="AM534" s="162"/>
      <c r="AN534" s="160">
        <f t="shared" si="242"/>
        <v>879.23999999999796</v>
      </c>
      <c r="AO534" s="349">
        <f t="shared" si="243"/>
        <v>7.8433891319764831E-2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tr">
        <f t="shared" si="241"/>
        <v>Frais bancaires</v>
      </c>
      <c r="B535" s="3"/>
      <c r="C535" s="336"/>
      <c r="T535" s="6"/>
      <c r="U535" s="6"/>
      <c r="V535" s="271" t="s">
        <v>62</v>
      </c>
      <c r="W535" s="163" t="s">
        <v>155</v>
      </c>
      <c r="X535" s="157"/>
      <c r="Y535" s="353"/>
      <c r="Z535" s="158" t="e">
        <f>+SUM(START:END!Z535)</f>
        <v>#N/A</v>
      </c>
      <c r="AA535" s="157"/>
      <c r="AB535" s="164">
        <f t="shared" si="236"/>
        <v>0</v>
      </c>
      <c r="AC535" s="158">
        <f>+SUM(START:END!AC535)</f>
        <v>0</v>
      </c>
      <c r="AD535" s="165"/>
      <c r="AE535" s="164"/>
      <c r="AF535" s="158">
        <f>+SUM(START:END!AF535)</f>
        <v>17841.04</v>
      </c>
      <c r="AG535" s="159"/>
      <c r="AH535" s="160" t="e">
        <f t="shared" si="240"/>
        <v>#N/A</v>
      </c>
      <c r="AI535" s="161" t="e">
        <f t="shared" si="237"/>
        <v>#N/A</v>
      </c>
      <c r="AJ535" s="165"/>
      <c r="AK535" s="164"/>
      <c r="AL535" s="158">
        <f>+SUM(START:END!AL535)</f>
        <v>3445.8599999999997</v>
      </c>
      <c r="AM535" s="162"/>
      <c r="AN535" s="160">
        <f>AF535-AL535</f>
        <v>14395.18</v>
      </c>
      <c r="AO535" s="349">
        <f>IF(AL535=0,0,AN535/AL535)</f>
        <v>4.1775289768011472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260" t="str">
        <f t="shared" si="241"/>
        <v>Mitsubishi</v>
      </c>
      <c r="B536" s="3"/>
      <c r="C536" s="336"/>
      <c r="T536" s="6"/>
      <c r="U536" s="6"/>
      <c r="V536" s="271" t="s">
        <v>200</v>
      </c>
      <c r="W536" s="163"/>
      <c r="X536" s="157"/>
      <c r="Y536" s="164"/>
      <c r="Z536" s="158">
        <f>+SUM(START:END!Z536)</f>
        <v>0</v>
      </c>
      <c r="AA536" s="157"/>
      <c r="AB536" s="157">
        <f t="shared" si="236"/>
        <v>0</v>
      </c>
      <c r="AC536" s="158">
        <f>+SUM(START:END!AC536)</f>
        <v>0</v>
      </c>
      <c r="AD536" s="165"/>
      <c r="AE536" s="164"/>
      <c r="AF536" s="158">
        <f>+SUM(START:END!AF536)</f>
        <v>8709.57</v>
      </c>
      <c r="AG536" s="159"/>
      <c r="AH536" s="160">
        <f t="shared" si="240"/>
        <v>8709.57</v>
      </c>
      <c r="AI536" s="161">
        <f t="shared" si="237"/>
        <v>0</v>
      </c>
      <c r="AJ536" s="165"/>
      <c r="AK536" s="164"/>
      <c r="AL536" s="158">
        <f>+SUMIF($C:$C,$V536,Q:Q)</f>
        <v>0</v>
      </c>
      <c r="AM536" s="162"/>
      <c r="AN536" s="160">
        <f>AF536-AL536</f>
        <v>8709.57</v>
      </c>
      <c r="AO536" s="349">
        <f>IF(AL536=0,0,AN536/AL536)</f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260" t="str">
        <f t="shared" si="241"/>
        <v>[...]</v>
      </c>
      <c r="B537" s="3"/>
      <c r="C537" s="336"/>
      <c r="T537" s="6"/>
      <c r="U537" s="6"/>
      <c r="V537" s="271" t="s">
        <v>19</v>
      </c>
      <c r="W537" s="163"/>
      <c r="X537" s="157"/>
      <c r="Y537" s="164"/>
      <c r="Z537" s="158">
        <f>+SUM(START:END!Z537)</f>
        <v>0</v>
      </c>
      <c r="AA537" s="157"/>
      <c r="AB537" s="157">
        <f t="shared" si="236"/>
        <v>0</v>
      </c>
      <c r="AC537" s="158">
        <f>+SUM(START:END!AC537)</f>
        <v>0</v>
      </c>
      <c r="AD537" s="165"/>
      <c r="AE537" s="164"/>
      <c r="AF537" s="158">
        <f>+SUM(START:END!AF537)</f>
        <v>0</v>
      </c>
      <c r="AG537" s="159"/>
      <c r="AH537" s="160">
        <f t="shared" si="240"/>
        <v>0</v>
      </c>
      <c r="AI537" s="161">
        <f t="shared" si="237"/>
        <v>0</v>
      </c>
      <c r="AJ537" s="165"/>
      <c r="AK537" s="164"/>
      <c r="AL537" s="158"/>
      <c r="AM537" s="162"/>
      <c r="AN537" s="160">
        <f>AF537-AL537</f>
        <v>0</v>
      </c>
      <c r="AO537" s="349">
        <f>IF(AL537=0,0,AN537/AL537)</f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260" t="str">
        <f t="shared" si="241"/>
        <v>[...]</v>
      </c>
      <c r="B538" s="3"/>
      <c r="C538" s="336"/>
      <c r="T538" s="6"/>
      <c r="U538" s="6"/>
      <c r="V538" s="271" t="s">
        <v>19</v>
      </c>
      <c r="W538" s="163"/>
      <c r="X538" s="157"/>
      <c r="Y538" s="164"/>
      <c r="Z538" s="158">
        <f>+SUM(START:END!Z538)</f>
        <v>0</v>
      </c>
      <c r="AA538" s="157"/>
      <c r="AB538" s="157">
        <f t="shared" si="236"/>
        <v>0</v>
      </c>
      <c r="AC538" s="158">
        <f>+SUM(START:END!AC538)</f>
        <v>0</v>
      </c>
      <c r="AD538" s="165"/>
      <c r="AE538" s="164"/>
      <c r="AF538" s="158">
        <f>+SUM(START:END!AF538)</f>
        <v>0</v>
      </c>
      <c r="AG538" s="159"/>
      <c r="AH538" s="160">
        <f t="shared" si="240"/>
        <v>0</v>
      </c>
      <c r="AI538" s="161">
        <f t="shared" si="237"/>
        <v>0</v>
      </c>
      <c r="AJ538" s="165"/>
      <c r="AK538" s="164"/>
      <c r="AL538" s="158"/>
      <c r="AM538" s="162"/>
      <c r="AN538" s="160">
        <f>AF538-AL538</f>
        <v>0</v>
      </c>
      <c r="AO538" s="349">
        <f>IF(AL538=0,0,AN538/AL538)</f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tr">
        <f t="shared" si="241"/>
        <v>TOTAL SEMI-FIXES</v>
      </c>
      <c r="B539" s="3"/>
      <c r="C539" s="336"/>
      <c r="T539" s="6"/>
      <c r="U539" s="6"/>
      <c r="V539" s="351" t="s">
        <v>63</v>
      </c>
      <c r="W539" s="189"/>
      <c r="X539" s="171" t="e">
        <f>Z539/+Z494</f>
        <v>#N/A</v>
      </c>
      <c r="Y539" s="170"/>
      <c r="Z539" s="172" t="e">
        <f>+SUM(Z521:Z538)</f>
        <v>#N/A</v>
      </c>
      <c r="AA539" s="171" t="e">
        <f>AC539/+AC494</f>
        <v>#DIV/0!</v>
      </c>
      <c r="AB539" s="170"/>
      <c r="AC539" s="172">
        <f>+SUM(START:END!AC538)</f>
        <v>0</v>
      </c>
      <c r="AD539" s="173">
        <f>AF539/AF494</f>
        <v>0.19901159169031779</v>
      </c>
      <c r="AE539" s="170"/>
      <c r="AF539" s="172">
        <f>+SUM(AF521:AF538)</f>
        <v>327832.8</v>
      </c>
      <c r="AG539" s="179"/>
      <c r="AH539" s="356" t="e">
        <f>+SUM(AH521:AH538)</f>
        <v>#N/A</v>
      </c>
      <c r="AI539" s="171" t="e">
        <f>AH539/Z539</f>
        <v>#N/A</v>
      </c>
      <c r="AJ539" s="173">
        <f>IF($AL$407=0,0,AL539/$AL$407)</f>
        <v>0</v>
      </c>
      <c r="AK539" s="170"/>
      <c r="AL539" s="172">
        <f>+SUM(AL521:AL538)</f>
        <v>362973.23</v>
      </c>
      <c r="AM539" s="180"/>
      <c r="AN539" s="175">
        <f>+SUM(AN521:AN538)</f>
        <v>-35140.429999999986</v>
      </c>
      <c r="AO539" s="357">
        <f>IF(AL539=0,0,AN539/AL539)</f>
        <v>-9.6812731892101211E-2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tr">
        <f t="shared" si="241"/>
        <v>Loyer</v>
      </c>
      <c r="B540" s="3"/>
      <c r="C540" s="33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 t="e">
        <f>+SUM(START:END!Z540)</f>
        <v>#N/A</v>
      </c>
      <c r="AA540" s="157"/>
      <c r="AB540" s="164">
        <f t="shared" ref="AB540:AB549" si="244">IF(AC540=0,0,AC540/(G$13+G$97))</f>
        <v>0</v>
      </c>
      <c r="AC540" s="158">
        <f>+SUM(START:END!AC540)</f>
        <v>0</v>
      </c>
      <c r="AD540" s="165"/>
      <c r="AE540" s="164"/>
      <c r="AF540" s="158">
        <f>+SUM(START:END!AF540)</f>
        <v>213354</v>
      </c>
      <c r="AG540" s="159"/>
      <c r="AH540" s="160" t="e">
        <f t="shared" ref="AH540:AH548" si="245">AF540-Z540</f>
        <v>#N/A</v>
      </c>
      <c r="AI540" s="161" t="e">
        <f t="shared" ref="AI540:AI548" si="246">IF(Z540=0,0,AH540/Z540)</f>
        <v>#N/A</v>
      </c>
      <c r="AJ540" s="165"/>
      <c r="AK540" s="164"/>
      <c r="AL540" s="158">
        <f>+SUM(START:END!AL540)</f>
        <v>338672.64000000001</v>
      </c>
      <c r="AM540" s="162"/>
      <c r="AN540" s="160">
        <f>AF540-AL540</f>
        <v>-125318.64000000001</v>
      </c>
      <c r="AO540" s="349">
        <f t="shared" ref="AO540:AO548" si="247">IF(AL540=0,0,AN540/AL540)</f>
        <v>-0.37002882783799723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tr">
        <f t="shared" si="241"/>
        <v>Taxes foncières</v>
      </c>
      <c r="B541" s="3"/>
      <c r="C541" s="33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 t="e">
        <f>+SUM(START:END!Z541)</f>
        <v>#N/A</v>
      </c>
      <c r="AA541" s="157"/>
      <c r="AB541" s="164">
        <f t="shared" si="244"/>
        <v>0</v>
      </c>
      <c r="AC541" s="158">
        <f>+SUM(START:END!AC541)</f>
        <v>0</v>
      </c>
      <c r="AD541" s="165"/>
      <c r="AE541" s="164"/>
      <c r="AF541" s="158">
        <f>+SUM(START:END!AF541)</f>
        <v>21161.67</v>
      </c>
      <c r="AG541" s="159"/>
      <c r="AH541" s="160" t="e">
        <f t="shared" si="245"/>
        <v>#N/A</v>
      </c>
      <c r="AI541" s="161" t="e">
        <f t="shared" si="246"/>
        <v>#N/A</v>
      </c>
      <c r="AJ541" s="165"/>
      <c r="AK541" s="164"/>
      <c r="AL541" s="158">
        <f>+SUM(START:END!AL541)</f>
        <v>56634</v>
      </c>
      <c r="AM541" s="162"/>
      <c r="AN541" s="160">
        <f t="shared" ref="AN541:AN548" si="248">AF541-AL541</f>
        <v>-35472.33</v>
      </c>
      <c r="AO541" s="349">
        <f t="shared" si="247"/>
        <v>-0.62634336264434798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tr">
        <f t="shared" si="241"/>
        <v>Taxes d`affaires</v>
      </c>
      <c r="B542" s="3"/>
      <c r="C542" s="33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 t="e">
        <f>+SUM(START:END!Z542)</f>
        <v>#N/A</v>
      </c>
      <c r="AA542" s="145"/>
      <c r="AB542" s="167">
        <f t="shared" si="244"/>
        <v>0</v>
      </c>
      <c r="AC542" s="146">
        <f>+SUM(START:END!AC542)</f>
        <v>0</v>
      </c>
      <c r="AD542" s="168"/>
      <c r="AE542" s="167"/>
      <c r="AF542" s="146">
        <f>+SUM(START:END!AF542)</f>
        <v>44182.83</v>
      </c>
      <c r="AG542" s="147"/>
      <c r="AH542" s="148" t="e">
        <f t="shared" si="245"/>
        <v>#N/A</v>
      </c>
      <c r="AI542" s="169" t="e">
        <f t="shared" si="246"/>
        <v>#N/A</v>
      </c>
      <c r="AJ542" s="168"/>
      <c r="AK542" s="167"/>
      <c r="AL542" s="146">
        <f>+SUM(START:END!AL542)</f>
        <v>30000</v>
      </c>
      <c r="AM542" s="150"/>
      <c r="AN542" s="148">
        <f t="shared" si="248"/>
        <v>14182.830000000002</v>
      </c>
      <c r="AO542" s="343">
        <f t="shared" si="247"/>
        <v>0.47276100000000004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260" t="str">
        <f t="shared" si="241"/>
        <v>Taxe sur le capital</v>
      </c>
      <c r="B543" s="3"/>
      <c r="C543" s="33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 t="e">
        <f>+SUM(START:END!Z543)</f>
        <v>#N/A</v>
      </c>
      <c r="AA543" s="157"/>
      <c r="AB543" s="164">
        <f t="shared" si="244"/>
        <v>0</v>
      </c>
      <c r="AC543" s="158">
        <f>+SUM(START:END!AC543)</f>
        <v>0</v>
      </c>
      <c r="AD543" s="165"/>
      <c r="AE543" s="164"/>
      <c r="AF543" s="158">
        <f>+SUM(START:END!AF543)</f>
        <v>0</v>
      </c>
      <c r="AG543" s="159"/>
      <c r="AH543" s="160" t="e">
        <f t="shared" si="245"/>
        <v>#N/A</v>
      </c>
      <c r="AI543" s="161" t="e">
        <f t="shared" si="246"/>
        <v>#N/A</v>
      </c>
      <c r="AJ543" s="165"/>
      <c r="AK543" s="164"/>
      <c r="AL543" s="158">
        <f>+SUM(START:END!AL543)</f>
        <v>0</v>
      </c>
      <c r="AM543" s="162"/>
      <c r="AN543" s="160">
        <f t="shared" si="248"/>
        <v>0</v>
      </c>
      <c r="AO543" s="349">
        <f t="shared" si="24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tr">
        <f t="shared" si="241"/>
        <v>Assurances</v>
      </c>
      <c r="B544" s="3"/>
      <c r="C544" s="33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 t="e">
        <f>+SUM(START:END!Z544)</f>
        <v>#N/A</v>
      </c>
      <c r="AA544" s="145"/>
      <c r="AB544" s="167">
        <f t="shared" si="244"/>
        <v>0</v>
      </c>
      <c r="AC544" s="146">
        <f>+SUM(START:END!AC544)</f>
        <v>0</v>
      </c>
      <c r="AD544" s="168"/>
      <c r="AE544" s="167"/>
      <c r="AF544" s="146">
        <f>+SUM(START:END!AF544)</f>
        <v>23523.89</v>
      </c>
      <c r="AG544" s="147"/>
      <c r="AH544" s="148" t="e">
        <f t="shared" si="245"/>
        <v>#N/A</v>
      </c>
      <c r="AI544" s="169" t="e">
        <f t="shared" si="246"/>
        <v>#N/A</v>
      </c>
      <c r="AJ544" s="168"/>
      <c r="AK544" s="167"/>
      <c r="AL544" s="146">
        <f>+SUM(START:END!AL544)</f>
        <v>39220.83</v>
      </c>
      <c r="AM544" s="150"/>
      <c r="AN544" s="148">
        <f t="shared" si="248"/>
        <v>-15696.940000000002</v>
      </c>
      <c r="AO544" s="343">
        <f t="shared" si="247"/>
        <v>-0.40021947521253382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tr">
        <f t="shared" si="241"/>
        <v>Chauffage, éclairage</v>
      </c>
      <c r="B545" s="3"/>
      <c r="C545" s="33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 t="e">
        <f>+SUM(START:END!Z545)</f>
        <v>#N/A</v>
      </c>
      <c r="AA545" s="190"/>
      <c r="AB545" s="191">
        <f t="shared" si="244"/>
        <v>0</v>
      </c>
      <c r="AC545" s="158">
        <f>+SUM(START:END!AC545)</f>
        <v>0</v>
      </c>
      <c r="AD545" s="165"/>
      <c r="AE545" s="164"/>
      <c r="AF545" s="158">
        <f>+SUM(START:END!AF545)</f>
        <v>33300</v>
      </c>
      <c r="AG545" s="159"/>
      <c r="AH545" s="160" t="e">
        <f t="shared" si="245"/>
        <v>#N/A</v>
      </c>
      <c r="AI545" s="161" t="e">
        <f t="shared" si="246"/>
        <v>#N/A</v>
      </c>
      <c r="AJ545" s="165"/>
      <c r="AK545" s="164"/>
      <c r="AL545" s="158">
        <f>+SUM(START:END!AL545)</f>
        <v>28711.079999999994</v>
      </c>
      <c r="AM545" s="162"/>
      <c r="AN545" s="160">
        <f t="shared" si="248"/>
        <v>4588.9200000000055</v>
      </c>
      <c r="AO545" s="349">
        <f t="shared" si="247"/>
        <v>0.15983097814502298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tr">
        <f t="shared" si="241"/>
        <v>Honoraires</v>
      </c>
      <c r="B546" s="3"/>
      <c r="C546" s="33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 t="e">
        <f>+SUM(START:END!Z546)</f>
        <v>#N/A</v>
      </c>
      <c r="AA546" s="157"/>
      <c r="AB546" s="164">
        <f t="shared" si="244"/>
        <v>0</v>
      </c>
      <c r="AC546" s="158">
        <f>+SUM(START:END!AC546)</f>
        <v>0</v>
      </c>
      <c r="AD546" s="165"/>
      <c r="AE546" s="164"/>
      <c r="AF546" s="158">
        <f>+SUM(START:END!AF546)</f>
        <v>21563.480000000003</v>
      </c>
      <c r="AG546" s="159"/>
      <c r="AH546" s="160" t="e">
        <f t="shared" si="245"/>
        <v>#N/A</v>
      </c>
      <c r="AI546" s="161" t="e">
        <f t="shared" si="246"/>
        <v>#N/A</v>
      </c>
      <c r="AJ546" s="165"/>
      <c r="AK546" s="164"/>
      <c r="AL546" s="158">
        <f>+SUM(START:END!AL546)</f>
        <v>20361.55</v>
      </c>
      <c r="AM546" s="162"/>
      <c r="AN546" s="160">
        <f t="shared" si="248"/>
        <v>1201.9300000000039</v>
      </c>
      <c r="AO546" s="349">
        <f t="shared" si="247"/>
        <v>5.9029396092144457E-2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tr">
        <f t="shared" si="241"/>
        <v>Réparation équipement</v>
      </c>
      <c r="B547" s="3"/>
      <c r="C547" s="33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 t="e">
        <f>+SUM(START:END!Z547)</f>
        <v>#N/A</v>
      </c>
      <c r="AA547" s="145"/>
      <c r="AB547" s="167">
        <f t="shared" si="244"/>
        <v>0</v>
      </c>
      <c r="AC547" s="146">
        <f>+SUM(START:END!AC547)</f>
        <v>0</v>
      </c>
      <c r="AD547" s="168"/>
      <c r="AE547" s="167"/>
      <c r="AF547" s="146">
        <f>+SUM(START:END!AF547)</f>
        <v>15906.29</v>
      </c>
      <c r="AG547" s="147"/>
      <c r="AH547" s="148" t="e">
        <f t="shared" si="245"/>
        <v>#N/A</v>
      </c>
      <c r="AI547" s="169" t="e">
        <f t="shared" si="246"/>
        <v>#N/A</v>
      </c>
      <c r="AJ547" s="168"/>
      <c r="AK547" s="167"/>
      <c r="AL547" s="146">
        <f>+SUM(START:END!AL547)</f>
        <v>22113.18</v>
      </c>
      <c r="AM547" s="150"/>
      <c r="AN547" s="148">
        <f t="shared" si="248"/>
        <v>-6206.8899999999994</v>
      </c>
      <c r="AO547" s="343">
        <f t="shared" si="247"/>
        <v>-0.28068735478117574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tr">
        <f t="shared" si="241"/>
        <v>Location équipement</v>
      </c>
      <c r="B548" s="3"/>
      <c r="C548" s="33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8"/>
      <c r="V548" s="271" t="s">
        <v>171</v>
      </c>
      <c r="W548" s="163" t="s">
        <v>172</v>
      </c>
      <c r="X548" s="157"/>
      <c r="Y548" s="164"/>
      <c r="Z548" s="158" t="e">
        <f>+SUM(START:END!Z548)</f>
        <v>#N/A</v>
      </c>
      <c r="AA548" s="157"/>
      <c r="AB548" s="164">
        <f t="shared" si="244"/>
        <v>0</v>
      </c>
      <c r="AC548" s="158">
        <f>+SUM(START:END!AC548)</f>
        <v>0</v>
      </c>
      <c r="AD548" s="165"/>
      <c r="AE548" s="164"/>
      <c r="AF548" s="158">
        <f>+SUM(START:END!AF548)</f>
        <v>4525.0300000000007</v>
      </c>
      <c r="AG548" s="159"/>
      <c r="AH548" s="160" t="e">
        <f t="shared" si="245"/>
        <v>#N/A</v>
      </c>
      <c r="AI548" s="192" t="e">
        <f t="shared" si="246"/>
        <v>#N/A</v>
      </c>
      <c r="AJ548" s="165"/>
      <c r="AK548" s="164"/>
      <c r="AL548" s="158">
        <f>+SUM(START:END!AL548)</f>
        <v>2278.9</v>
      </c>
      <c r="AM548" s="162"/>
      <c r="AN548" s="160">
        <f t="shared" si="248"/>
        <v>2246.1300000000006</v>
      </c>
      <c r="AO548" s="349">
        <f t="shared" si="247"/>
        <v>0.98562025538637088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260" t="str">
        <f t="shared" si="241"/>
        <v>Dons</v>
      </c>
      <c r="B549" s="3"/>
      <c r="C549" s="33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8"/>
      <c r="V549" s="271" t="s">
        <v>173</v>
      </c>
      <c r="W549" s="163" t="s">
        <v>174</v>
      </c>
      <c r="X549" s="157"/>
      <c r="Y549" s="164"/>
      <c r="Z549" s="158">
        <f>+SUM(START:END!Z549)</f>
        <v>0</v>
      </c>
      <c r="AA549" s="157"/>
      <c r="AB549" s="164">
        <f t="shared" si="244"/>
        <v>0</v>
      </c>
      <c r="AC549" s="158">
        <f>+SUM(START:END!AC549)</f>
        <v>0</v>
      </c>
      <c r="AD549" s="165"/>
      <c r="AE549" s="164"/>
      <c r="AF549" s="158">
        <f>+SUM(START:END!AF549)</f>
        <v>0</v>
      </c>
      <c r="AG549" s="159"/>
      <c r="AH549" s="160">
        <v>0</v>
      </c>
      <c r="AI549" s="177">
        <v>0</v>
      </c>
      <c r="AJ549" s="165"/>
      <c r="AK549" s="164"/>
      <c r="AL549" s="158">
        <f>+SUM(START:END!AL549)</f>
        <v>0</v>
      </c>
      <c r="AM549" s="162"/>
      <c r="AN549" s="160">
        <v>0</v>
      </c>
      <c r="AO549" s="349"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260" t="str">
        <f t="shared" si="241"/>
        <v>[...]</v>
      </c>
      <c r="B550" s="3"/>
      <c r="C550" s="33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8"/>
      <c r="V550" s="271" t="s">
        <v>19</v>
      </c>
      <c r="W550" s="163"/>
      <c r="X550" s="157"/>
      <c r="Y550" s="164"/>
      <c r="Z550" s="158">
        <f>+SUM(START:END!Z549)</f>
        <v>0</v>
      </c>
      <c r="AA550" s="157"/>
      <c r="AB550" s="157"/>
      <c r="AC550" s="158">
        <f>+SUM(START:END!AC549)</f>
        <v>0</v>
      </c>
      <c r="AD550" s="165"/>
      <c r="AE550" s="164"/>
      <c r="AF550" s="158">
        <f>+SUM(START:END!AF549)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f>+SUM(START:END!AL550)</f>
        <v>0</v>
      </c>
      <c r="AM550" s="162"/>
      <c r="AN550" s="160">
        <v>0</v>
      </c>
      <c r="AO550" s="349">
        <v>1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260" t="str">
        <f t="shared" si="241"/>
        <v>[...]</v>
      </c>
      <c r="B551" s="3"/>
      <c r="C551" s="33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8"/>
      <c r="V551" s="271" t="s">
        <v>19</v>
      </c>
      <c r="W551" s="163"/>
      <c r="X551" s="157"/>
      <c r="Y551" s="164"/>
      <c r="Z551" s="158">
        <f>+SUM(START:END!Z550)</f>
        <v>0</v>
      </c>
      <c r="AA551" s="157"/>
      <c r="AB551" s="157"/>
      <c r="AC551" s="158">
        <f>+SUM(START:END!AC550)</f>
        <v>0</v>
      </c>
      <c r="AD551" s="165"/>
      <c r="AE551" s="164"/>
      <c r="AF551" s="158">
        <f>+SUM(START:END!AF550)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f>+SUM(START:END!AL551)</f>
        <v>0</v>
      </c>
      <c r="AM551" s="162"/>
      <c r="AN551" s="160">
        <v>0</v>
      </c>
      <c r="AO551" s="349">
        <v>2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260" t="str">
        <f t="shared" si="241"/>
        <v>[...]</v>
      </c>
      <c r="B552" s="3"/>
      <c r="C552" s="33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+SUM(START:END!Z551)</f>
        <v>0</v>
      </c>
      <c r="AA552" s="157"/>
      <c r="AB552" s="157"/>
      <c r="AC552" s="158">
        <f>+SUM(START:END!AC551)</f>
        <v>0</v>
      </c>
      <c r="AD552" s="165"/>
      <c r="AE552" s="164"/>
      <c r="AF552" s="158">
        <f>+SUM(START:END!AF551)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f>+SUM(START:END!AL552)</f>
        <v>0</v>
      </c>
      <c r="AM552" s="162"/>
      <c r="AN552" s="160">
        <v>0</v>
      </c>
      <c r="AO552" s="349">
        <v>3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tr">
        <f t="shared" si="241"/>
        <v>TOTAL DÉPENSES FIXES</v>
      </c>
      <c r="B553" s="3"/>
      <c r="C553" s="33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1" t="s">
        <v>175</v>
      </c>
      <c r="W553" s="170"/>
      <c r="X553" s="171" t="e">
        <f>Z553/+Z494</f>
        <v>#N/A</v>
      </c>
      <c r="Y553" s="170"/>
      <c r="Z553" s="172" t="e">
        <f>SUM(Z540:Z552)</f>
        <v>#N/A</v>
      </c>
      <c r="AA553" s="171" t="e">
        <f>AC553/+AC494</f>
        <v>#DIV/0!</v>
      </c>
      <c r="AB553" s="170"/>
      <c r="AC553" s="172">
        <f>SUM(AC540:AC552)</f>
        <v>0</v>
      </c>
      <c r="AD553" s="173">
        <f>AF553/AF494</f>
        <v>0.22917260528036282</v>
      </c>
      <c r="AE553" s="170"/>
      <c r="AF553" s="172">
        <f>SUM(AF540:AF552)</f>
        <v>377517.19</v>
      </c>
      <c r="AG553" s="179"/>
      <c r="AH553" s="356" t="e">
        <f>SUM(AH540:AH552)</f>
        <v>#N/A</v>
      </c>
      <c r="AI553" s="171" t="e">
        <f>IF(Z553=0,0,AH553/Z553)</f>
        <v>#N/A</v>
      </c>
      <c r="AJ553" s="173">
        <f>IF($AL$407=0,0,AL553/$AL$407)</f>
        <v>0</v>
      </c>
      <c r="AK553" s="170"/>
      <c r="AL553" s="172">
        <f>SUM(AL540:AL552)</f>
        <v>537992.18000000005</v>
      </c>
      <c r="AM553" s="180"/>
      <c r="AN553" s="175">
        <f>SUM(AN540:AN552)</f>
        <v>-160474.99</v>
      </c>
      <c r="AO553" s="357">
        <f t="shared" ref="AO553:AO570" si="249">IF(AL553=0,0,AN553/AL553)</f>
        <v>-0.29828498622414917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tr">
        <f t="shared" si="241"/>
        <v/>
      </c>
      <c r="B554" s="3"/>
      <c r="C554" s="33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250">AF554-Z554</f>
        <v>0</v>
      </c>
      <c r="AI554" s="161"/>
      <c r="AJ554" s="165"/>
      <c r="AK554" s="157"/>
      <c r="AL554" s="158"/>
      <c r="AM554" s="194"/>
      <c r="AN554" s="160">
        <f t="shared" ref="AN554:AN570" si="251">AF554-AL554</f>
        <v>0</v>
      </c>
      <c r="AO554" s="359">
        <f t="shared" si="249"/>
        <v>0</v>
      </c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tr">
        <f t="shared" si="241"/>
        <v>TOTAL DES DÉPENSES</v>
      </c>
      <c r="B555" s="3"/>
      <c r="C555" s="33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1" t="s">
        <v>64</v>
      </c>
      <c r="W555" s="170"/>
      <c r="X555" s="171" t="e">
        <f>Z555/+Z494</f>
        <v>#N/A</v>
      </c>
      <c r="Y555" s="170"/>
      <c r="Z555" s="172" t="e">
        <f>Z506+Z520+Z539+Z553</f>
        <v>#N/A</v>
      </c>
      <c r="AA555" s="171" t="e">
        <f>AC555/+AC494</f>
        <v>#DIV/0!</v>
      </c>
      <c r="AB555" s="170"/>
      <c r="AC555" s="172">
        <f>AC506+AC520+AC539+AC553</f>
        <v>0</v>
      </c>
      <c r="AD555" s="173">
        <f>AF555/AF494</f>
        <v>0.98341752184878739</v>
      </c>
      <c r="AE555" s="170"/>
      <c r="AF555" s="172">
        <f>AF506+AF520+AF539+AF553</f>
        <v>1619988.65</v>
      </c>
      <c r="AG555" s="179"/>
      <c r="AH555" s="356" t="e">
        <f t="shared" si="250"/>
        <v>#N/A</v>
      </c>
      <c r="AI555" s="171" t="e">
        <f>AH555/Z555</f>
        <v>#N/A</v>
      </c>
      <c r="AJ555" s="173">
        <f>IF($AL$407=0,0,AL555/$AL$407)</f>
        <v>0</v>
      </c>
      <c r="AK555" s="170"/>
      <c r="AL555" s="172">
        <f>AL506+AL520+AL539+AL553</f>
        <v>1913298.8699999996</v>
      </c>
      <c r="AM555" s="180"/>
      <c r="AN555" s="175">
        <f t="shared" si="251"/>
        <v>-293310.21999999974</v>
      </c>
      <c r="AO555" s="346">
        <f t="shared" si="249"/>
        <v>-0.1533007856739077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tr">
        <f t="shared" si="241"/>
        <v>Revenus autres</v>
      </c>
      <c r="B556" s="3"/>
      <c r="C556" s="33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 t="e">
        <f>+SUM(START:END!Z556)</f>
        <v>#N/A</v>
      </c>
      <c r="AA556" s="195"/>
      <c r="AB556" s="196">
        <f t="shared" ref="AB556:AB564" si="252">IF(AC556=0,0,AC556/(G$13+G$97))</f>
        <v>0</v>
      </c>
      <c r="AC556" s="183">
        <f>+SUM(START:END!AC556)</f>
        <v>0</v>
      </c>
      <c r="AD556" s="197"/>
      <c r="AE556" s="196"/>
      <c r="AF556" s="183">
        <f>+SUM(START:END!AF556)</f>
        <v>23276.15</v>
      </c>
      <c r="AG556" s="198"/>
      <c r="AH556" s="160" t="e">
        <f t="shared" si="250"/>
        <v>#N/A</v>
      </c>
      <c r="AI556" s="192" t="e">
        <f>IF(AH556=0,0,AH556/Z556)</f>
        <v>#N/A</v>
      </c>
      <c r="AJ556" s="197"/>
      <c r="AK556" s="196"/>
      <c r="AL556" s="183">
        <f>+SUM(START:END!AL556)</f>
        <v>159127.83000000002</v>
      </c>
      <c r="AM556" s="199"/>
      <c r="AN556" s="160">
        <f t="shared" si="251"/>
        <v>-135851.68000000002</v>
      </c>
      <c r="AO556" s="349">
        <f t="shared" si="249"/>
        <v>-0.85372671769608122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260" t="str">
        <f t="shared" si="241"/>
        <v>Holdbacks</v>
      </c>
      <c r="B557" s="3"/>
      <c r="C557" s="33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 t="e">
        <f>+SUM(START:END!Z557)</f>
        <v>#N/A</v>
      </c>
      <c r="AA557" s="190"/>
      <c r="AB557" s="160">
        <f t="shared" si="252"/>
        <v>0</v>
      </c>
      <c r="AC557" s="158">
        <f>+SUM(START:END!AC557)</f>
        <v>0</v>
      </c>
      <c r="AD557" s="202"/>
      <c r="AE557" s="360"/>
      <c r="AF557" s="158">
        <f>+SUM(START:END!AF557)</f>
        <v>0</v>
      </c>
      <c r="AG557" s="201"/>
      <c r="AH557" s="160" t="e">
        <f t="shared" si="250"/>
        <v>#N/A</v>
      </c>
      <c r="AI557" s="177" t="e">
        <f>IF(Z557=0,0,AH557/Z557)</f>
        <v>#N/A</v>
      </c>
      <c r="AJ557" s="202"/>
      <c r="AK557" s="360"/>
      <c r="AL557" s="158">
        <f>+SUM(START:END!AL557)</f>
        <v>0</v>
      </c>
      <c r="AM557" s="202"/>
      <c r="AN557" s="160">
        <f t="shared" si="251"/>
        <v>0</v>
      </c>
      <c r="AO557" s="349">
        <f t="shared" si="249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tr">
        <f t="shared" si="241"/>
        <v>RBSC neuf</v>
      </c>
      <c r="B558" s="3"/>
      <c r="C558" s="33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213</v>
      </c>
      <c r="W558" s="157"/>
      <c r="X558" s="157"/>
      <c r="Y558" s="157"/>
      <c r="Z558" s="158" t="e">
        <f>+SUM(START:END!Z558)</f>
        <v>#N/A</v>
      </c>
      <c r="AA558" s="190"/>
      <c r="AB558" s="191">
        <f t="shared" si="252"/>
        <v>0</v>
      </c>
      <c r="AC558" s="158">
        <f>+SUM(START:END!AC558)</f>
        <v>0</v>
      </c>
      <c r="AD558" s="200"/>
      <c r="AF558" s="158">
        <f>+SUM(START:END!AF558)</f>
        <v>89171.54</v>
      </c>
      <c r="AG558" s="201"/>
      <c r="AH558" s="160" t="e">
        <f t="shared" si="250"/>
        <v>#N/A</v>
      </c>
      <c r="AI558" s="177" t="e">
        <f t="shared" ref="AI558:AI567" si="253">IF(AH558=0,0,AH558/Z558)</f>
        <v>#N/A</v>
      </c>
      <c r="AJ558" s="200"/>
      <c r="AL558" s="158">
        <f>+SUM(START:END!AL558)</f>
        <v>77373.09</v>
      </c>
      <c r="AM558" s="202"/>
      <c r="AN558" s="160">
        <f t="shared" si="251"/>
        <v>11798.449999999997</v>
      </c>
      <c r="AO558" s="349">
        <f t="shared" si="249"/>
        <v>0.15248777061895805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260" t="str">
        <f t="shared" si="241"/>
        <v>Programme neuf 2</v>
      </c>
      <c r="B559" s="3"/>
      <c r="C559" s="33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186</v>
      </c>
      <c r="W559" s="157"/>
      <c r="X559" s="157"/>
      <c r="Y559" s="157"/>
      <c r="Z559" s="158" t="e">
        <f>+SUM(START:END!Z559)</f>
        <v>#N/A</v>
      </c>
      <c r="AA559" s="190"/>
      <c r="AB559" s="191">
        <f t="shared" si="252"/>
        <v>0</v>
      </c>
      <c r="AC559" s="158">
        <f>+SUM(START:END!AC559)</f>
        <v>0</v>
      </c>
      <c r="AD559" s="200"/>
      <c r="AE559" s="191"/>
      <c r="AF559" s="158">
        <f>+SUM(START:END!AF559)</f>
        <v>0</v>
      </c>
      <c r="AG559" s="201"/>
      <c r="AH559" s="160" t="e">
        <f t="shared" si="250"/>
        <v>#N/A</v>
      </c>
      <c r="AI559" s="177" t="e">
        <f t="shared" si="253"/>
        <v>#N/A</v>
      </c>
      <c r="AJ559" s="200"/>
      <c r="AK559" s="191"/>
      <c r="AL559" s="158">
        <f>+SUM(START:END!AL559)</f>
        <v>0</v>
      </c>
      <c r="AM559" s="202"/>
      <c r="AN559" s="160">
        <f t="shared" si="251"/>
        <v>0</v>
      </c>
      <c r="AO559" s="349">
        <f t="shared" si="249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260" t="str">
        <f t="shared" si="241"/>
        <v>Programme neuf 3</v>
      </c>
      <c r="B560" s="3"/>
      <c r="C560" s="33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 t="e">
        <f>+SUM(START:END!Z560)</f>
        <v>#N/A</v>
      </c>
      <c r="AA560" s="190"/>
      <c r="AB560" s="191">
        <f t="shared" si="252"/>
        <v>0</v>
      </c>
      <c r="AC560" s="158">
        <f>+SUM(START:END!AC560)</f>
        <v>0</v>
      </c>
      <c r="AD560" s="200"/>
      <c r="AE560" s="191"/>
      <c r="AF560" s="158">
        <f>+SUM(START:END!AF560)</f>
        <v>0</v>
      </c>
      <c r="AG560" s="201"/>
      <c r="AH560" s="160" t="e">
        <f t="shared" si="250"/>
        <v>#N/A</v>
      </c>
      <c r="AI560" s="177" t="e">
        <f t="shared" si="253"/>
        <v>#N/A</v>
      </c>
      <c r="AJ560" s="200"/>
      <c r="AK560" s="191"/>
      <c r="AL560" s="158">
        <f>+SUM(START:END!AL560)</f>
        <v>0</v>
      </c>
      <c r="AM560" s="202"/>
      <c r="AN560" s="160">
        <f t="shared" si="251"/>
        <v>0</v>
      </c>
      <c r="AO560" s="349">
        <f t="shared" si="249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260" t="str">
        <f t="shared" si="241"/>
        <v>RBSC used</v>
      </c>
      <c r="B561" s="3"/>
      <c r="C561" s="33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215</v>
      </c>
      <c r="W561" s="157"/>
      <c r="X561" s="157"/>
      <c r="Y561" s="157"/>
      <c r="Z561" s="158" t="e">
        <f>+SUM(START:END!Z561)</f>
        <v>#N/A</v>
      </c>
      <c r="AA561" s="190"/>
      <c r="AB561" s="191">
        <f t="shared" si="252"/>
        <v>0</v>
      </c>
      <c r="AC561" s="158">
        <f>+SUM(START:END!AC561)</f>
        <v>0</v>
      </c>
      <c r="AD561" s="200"/>
      <c r="AE561" s="191"/>
      <c r="AF561" s="158">
        <f>+SUM(START:END!AF561)</f>
        <v>0</v>
      </c>
      <c r="AG561" s="201"/>
      <c r="AH561" s="160" t="e">
        <f t="shared" si="250"/>
        <v>#N/A</v>
      </c>
      <c r="AI561" s="177" t="e">
        <f t="shared" si="253"/>
        <v>#N/A</v>
      </c>
      <c r="AJ561" s="200"/>
      <c r="AK561" s="191"/>
      <c r="AL561" s="158">
        <f>+SUM(START:END!AL561)</f>
        <v>0</v>
      </c>
      <c r="AM561" s="202"/>
      <c r="AN561" s="160">
        <f t="shared" si="251"/>
        <v>0</v>
      </c>
      <c r="AO561" s="349">
        <f t="shared" si="249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260" t="str">
        <f t="shared" si="241"/>
        <v>Programme 360</v>
      </c>
      <c r="B562" s="3"/>
      <c r="C562" s="33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216</v>
      </c>
      <c r="W562" s="157"/>
      <c r="X562" s="157"/>
      <c r="Y562" s="157"/>
      <c r="Z562" s="158" t="e">
        <f>+SUM(START:END!Z562)</f>
        <v>#N/A</v>
      </c>
      <c r="AA562" s="190"/>
      <c r="AB562" s="191">
        <f t="shared" si="252"/>
        <v>0</v>
      </c>
      <c r="AC562" s="158">
        <f>+SUM(START:END!AC562)</f>
        <v>0</v>
      </c>
      <c r="AD562" s="200"/>
      <c r="AE562" s="191"/>
      <c r="AF562" s="158">
        <f>+SUM(START:END!AF562)</f>
        <v>0</v>
      </c>
      <c r="AG562" s="201"/>
      <c r="AH562" s="160" t="e">
        <f t="shared" si="250"/>
        <v>#N/A</v>
      </c>
      <c r="AI562" s="177" t="e">
        <f t="shared" si="253"/>
        <v>#N/A</v>
      </c>
      <c r="AJ562" s="200"/>
      <c r="AK562" s="191"/>
      <c r="AL562" s="158">
        <f>+SUM(START:END!AL562)</f>
        <v>0</v>
      </c>
      <c r="AM562" s="202"/>
      <c r="AN562" s="160">
        <f t="shared" si="251"/>
        <v>0</v>
      </c>
      <c r="AO562" s="349">
        <f t="shared" si="249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260" t="str">
        <f t="shared" si="241"/>
        <v>Programme used 3</v>
      </c>
      <c r="B563" s="3"/>
      <c r="C563" s="33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 t="e">
        <f>+SUM(START:END!Z563)</f>
        <v>#N/A</v>
      </c>
      <c r="AA563" s="190"/>
      <c r="AB563" s="191">
        <f t="shared" si="252"/>
        <v>0</v>
      </c>
      <c r="AC563" s="158">
        <f>+SUM(START:END!AC563)</f>
        <v>0</v>
      </c>
      <c r="AD563" s="200"/>
      <c r="AE563" s="191"/>
      <c r="AF563" s="158">
        <f>+SUM(START:END!AF563)</f>
        <v>0</v>
      </c>
      <c r="AG563" s="201"/>
      <c r="AH563" s="160" t="e">
        <f t="shared" si="250"/>
        <v>#N/A</v>
      </c>
      <c r="AI563" s="177" t="e">
        <f t="shared" si="253"/>
        <v>#N/A</v>
      </c>
      <c r="AJ563" s="200"/>
      <c r="AK563" s="191"/>
      <c r="AL563" s="158">
        <f>+SUM(START:END!AL563)</f>
        <v>0</v>
      </c>
      <c r="AM563" s="202"/>
      <c r="AN563" s="160">
        <f t="shared" si="251"/>
        <v>0</v>
      </c>
      <c r="AO563" s="349">
        <f t="shared" si="249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260" t="str">
        <f t="shared" si="241"/>
        <v>Facility Fund</v>
      </c>
      <c r="B564" s="3"/>
      <c r="C564" s="33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187</v>
      </c>
      <c r="W564" s="157"/>
      <c r="X564" s="157"/>
      <c r="Y564" s="157"/>
      <c r="Z564" s="158" t="e">
        <f>+SUM(START:END!Z564)</f>
        <v>#N/A</v>
      </c>
      <c r="AA564" s="157"/>
      <c r="AB564" s="157">
        <f t="shared" si="252"/>
        <v>0</v>
      </c>
      <c r="AC564" s="158">
        <f>+SUM(START:END!AC564)</f>
        <v>0</v>
      </c>
      <c r="AD564" s="165"/>
      <c r="AE564" s="164"/>
      <c r="AF564" s="158">
        <f>+SUM(START:END!AF564)</f>
        <v>0</v>
      </c>
      <c r="AG564" s="159"/>
      <c r="AH564" s="160" t="e">
        <f t="shared" si="250"/>
        <v>#N/A</v>
      </c>
      <c r="AI564" s="161" t="e">
        <f t="shared" si="253"/>
        <v>#N/A</v>
      </c>
      <c r="AJ564" s="165"/>
      <c r="AK564" s="164"/>
      <c r="AL564" s="158">
        <f>+SUM(START:END!AL564)</f>
        <v>0</v>
      </c>
      <c r="AM564" s="202"/>
      <c r="AN564" s="160">
        <f t="shared" si="251"/>
        <v>0</v>
      </c>
      <c r="AO564" s="349">
        <f t="shared" si="249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260" t="str">
        <f t="shared" si="241"/>
        <v>[...]</v>
      </c>
      <c r="B565" s="3"/>
      <c r="C565" s="33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+SUM(START:END!Z565)</f>
        <v>0</v>
      </c>
      <c r="AA565" s="157"/>
      <c r="AB565" s="157">
        <f>IF(AC565=0,0,AC565/(G$13+G$97))</f>
        <v>0</v>
      </c>
      <c r="AC565" s="158">
        <f>+SUM(START:END!AC565)</f>
        <v>0</v>
      </c>
      <c r="AD565" s="165"/>
      <c r="AE565" s="164"/>
      <c r="AF565" s="158">
        <f>+SUM(START:END!AF565)</f>
        <v>0</v>
      </c>
      <c r="AG565" s="159"/>
      <c r="AH565" s="160">
        <f t="shared" si="250"/>
        <v>0</v>
      </c>
      <c r="AI565" s="161">
        <f t="shared" si="253"/>
        <v>0</v>
      </c>
      <c r="AJ565" s="165"/>
      <c r="AK565" s="164"/>
      <c r="AL565" s="158">
        <f>+SUM(START:END!AL565)</f>
        <v>0</v>
      </c>
      <c r="AM565" s="202"/>
      <c r="AN565" s="160">
        <f t="shared" si="251"/>
        <v>0</v>
      </c>
      <c r="AO565" s="349">
        <f t="shared" si="249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260" t="str">
        <f t="shared" si="241"/>
        <v>[...]</v>
      </c>
      <c r="B566" s="3"/>
      <c r="C566" s="33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+SUM(START:END!Z566)</f>
        <v>0</v>
      </c>
      <c r="AA566" s="157"/>
      <c r="AB566" s="157">
        <f>IF(AC566=0,0,AC566/(G$13+G$97))</f>
        <v>0</v>
      </c>
      <c r="AC566" s="158">
        <f>+SUM(START:END!AC566)</f>
        <v>0</v>
      </c>
      <c r="AD566" s="165"/>
      <c r="AE566" s="164"/>
      <c r="AF566" s="158">
        <f>+SUM(START:END!AF566)</f>
        <v>0</v>
      </c>
      <c r="AG566" s="159"/>
      <c r="AH566" s="160">
        <f t="shared" si="250"/>
        <v>0</v>
      </c>
      <c r="AI566" s="161">
        <f t="shared" si="253"/>
        <v>0</v>
      </c>
      <c r="AJ566" s="165"/>
      <c r="AK566" s="164"/>
      <c r="AL566" s="158">
        <f>+SUM(START:END!AL566)</f>
        <v>0</v>
      </c>
      <c r="AM566" s="202"/>
      <c r="AN566" s="160">
        <f t="shared" si="251"/>
        <v>0</v>
      </c>
      <c r="AO566" s="349">
        <f t="shared" si="249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tr">
        <f t="shared" si="241"/>
        <v>Frais administration</v>
      </c>
      <c r="B567" s="3"/>
      <c r="C567" s="33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 t="e">
        <f>+SUM(START:END!Z567)</f>
        <v>#N/A</v>
      </c>
      <c r="AA567" s="190"/>
      <c r="AB567" s="191">
        <f>IF(AC567=0,0,AC567/(G$13+G$97))</f>
        <v>0</v>
      </c>
      <c r="AC567" s="158">
        <f>+SUM(START:END!AC567)</f>
        <v>0</v>
      </c>
      <c r="AD567" s="361"/>
      <c r="AE567" s="190"/>
      <c r="AF567" s="158">
        <f>+SUM(START:END!AF567)</f>
        <v>117306.34</v>
      </c>
      <c r="AG567" s="201"/>
      <c r="AH567" s="160" t="e">
        <f t="shared" si="250"/>
        <v>#N/A</v>
      </c>
      <c r="AI567" s="177" t="e">
        <f t="shared" si="253"/>
        <v>#N/A</v>
      </c>
      <c r="AJ567" s="361"/>
      <c r="AK567" s="190"/>
      <c r="AL567" s="158">
        <f>+SUM(START:END!AL567)</f>
        <v>0</v>
      </c>
      <c r="AM567" s="202"/>
      <c r="AN567" s="160">
        <f t="shared" si="251"/>
        <v>117306.34</v>
      </c>
      <c r="AO567" s="349">
        <f t="shared" si="249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tr">
        <f t="shared" si="241"/>
        <v>TOTAL AUTRES REVENUS</v>
      </c>
      <c r="B568" s="3"/>
      <c r="C568" s="33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1" t="s">
        <v>177</v>
      </c>
      <c r="W568" s="170"/>
      <c r="X568" s="171" t="e">
        <f>Z568/+Z494</f>
        <v>#N/A</v>
      </c>
      <c r="Y568" s="189"/>
      <c r="Z568" s="172" t="e">
        <f>SUM(Z556:Z567)</f>
        <v>#N/A</v>
      </c>
      <c r="AA568" s="171" t="e">
        <f>AC568/+AC494</f>
        <v>#DIV/0!</v>
      </c>
      <c r="AB568" s="189"/>
      <c r="AC568" s="172">
        <f>SUM(AC556:AC567)</f>
        <v>0</v>
      </c>
      <c r="AD568" s="171">
        <f>AF568/+AF494</f>
        <v>0.13947266779762435</v>
      </c>
      <c r="AE568" s="189"/>
      <c r="AF568" s="172">
        <f>SUM(AF556:AF567)</f>
        <v>229754.03</v>
      </c>
      <c r="AG568" s="179"/>
      <c r="AH568" s="175" t="e">
        <f t="shared" si="250"/>
        <v>#N/A</v>
      </c>
      <c r="AI568" s="171" t="e">
        <f>AH568/Z568</f>
        <v>#N/A</v>
      </c>
      <c r="AJ568" s="171"/>
      <c r="AK568" s="189"/>
      <c r="AL568" s="172">
        <f>SUM(AL556:AL567)</f>
        <v>236500.92</v>
      </c>
      <c r="AM568" s="203"/>
      <c r="AN568" s="175">
        <f t="shared" si="251"/>
        <v>-6746.890000000014</v>
      </c>
      <c r="AO568" s="357">
        <f t="shared" si="249"/>
        <v>-2.8527965134342876E-2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tr">
        <f t="shared" si="241"/>
        <v/>
      </c>
      <c r="B569" s="3"/>
      <c r="C569" s="33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2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>
        <f t="shared" si="251"/>
        <v>0</v>
      </c>
      <c r="AO569" s="363">
        <f t="shared" si="249"/>
        <v>0</v>
      </c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tr">
        <f t="shared" si="241"/>
        <v>BAIIA OPÉRATIONNEL</v>
      </c>
      <c r="B570" s="3"/>
      <c r="C570" s="33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#N/A</v>
      </c>
      <c r="Z570" s="241" t="e">
        <f>Z494-Z555+Z568</f>
        <v>#N/A</v>
      </c>
      <c r="AA570" s="239" t="s">
        <v>179</v>
      </c>
      <c r="AB570" s="240" t="e">
        <f>AC570/AC493</f>
        <v>#DIV/0!</v>
      </c>
      <c r="AC570" s="241">
        <f>AC494-AC555+AC568</f>
        <v>0</v>
      </c>
      <c r="AD570" s="239" t="s">
        <v>179</v>
      </c>
      <c r="AE570" s="240">
        <f>AF570/AF493</f>
        <v>6.4979986109287308E-3</v>
      </c>
      <c r="AF570" s="241">
        <f>AF494-AF555+AF568</f>
        <v>257070.43000000736</v>
      </c>
      <c r="AG570" s="243"/>
      <c r="AH570" s="243" t="e">
        <f>AF570-Z570</f>
        <v>#N/A</v>
      </c>
      <c r="AI570" s="244" t="e">
        <f>AH570/Z570</f>
        <v>#N/A</v>
      </c>
      <c r="AJ570" s="239" t="s">
        <v>179</v>
      </c>
      <c r="AK570" s="240">
        <f>IF($AL$406=0,0,AL570/$AL$406)</f>
        <v>0</v>
      </c>
      <c r="AL570" s="241">
        <f>AL494-AL555+AL568</f>
        <v>789878.05000001297</v>
      </c>
      <c r="AM570" s="245"/>
      <c r="AN570" s="242">
        <f t="shared" si="251"/>
        <v>-532807.62000000558</v>
      </c>
      <c r="AO570" s="364">
        <f t="shared" si="249"/>
        <v>-0.67454415273344648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tr">
        <f t="shared" si="241"/>
        <v/>
      </c>
      <c r="B571" s="3"/>
      <c r="C571" s="33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260" t="str">
        <f t="shared" si="241"/>
        <v>Ste-Marie Auto</v>
      </c>
      <c r="B572" s="3"/>
      <c r="C572" s="33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5" t="str">
        <f>C1</f>
        <v>Ste-Marie Auto</v>
      </c>
      <c r="W572" s="365"/>
      <c r="X572" s="365"/>
      <c r="Y572" s="365"/>
      <c r="Z572" s="365"/>
      <c r="AA572" s="365"/>
      <c r="AB572" s="365"/>
      <c r="AC572" s="365"/>
      <c r="AD572" s="365"/>
      <c r="AE572" s="366" t="s">
        <v>180</v>
      </c>
      <c r="AF572" s="365"/>
      <c r="AG572" s="365"/>
      <c r="AH572" s="365"/>
      <c r="AI572" s="365"/>
      <c r="AJ572" s="365"/>
      <c r="AK572" s="366"/>
      <c r="AL572" s="365"/>
      <c r="AM572" s="365"/>
      <c r="AN572" s="365"/>
      <c r="AO572" s="367" t="str">
        <f>$S$1</f>
        <v>Réalisé  Q3 2026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tr">
        <f t="shared" si="241"/>
        <v/>
      </c>
      <c r="B573" s="3"/>
      <c r="C573" s="33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tr">
        <f t="shared" si="241"/>
        <v/>
      </c>
      <c r="B574" s="3"/>
      <c r="C574" s="33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8.600000000000001" hidden="1" customHeight="1" thickTop="1" thickBot="1">
      <c r="A575" s="260" t="str">
        <f t="shared" si="241"/>
        <v>BAIIA Corpo</v>
      </c>
      <c r="B575" s="3"/>
      <c r="C575" s="33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207</v>
      </c>
      <c r="W575" s="238"/>
      <c r="X575" s="239" t="s">
        <v>179</v>
      </c>
      <c r="Y575" s="240" t="e">
        <f>Z575/Z493</f>
        <v>#N/A</v>
      </c>
      <c r="Z575" s="242" t="e">
        <f>+Z576+Z502</f>
        <v>#N/A</v>
      </c>
      <c r="AA575" s="239"/>
      <c r="AB575" s="240"/>
      <c r="AC575" s="241"/>
      <c r="AD575" s="239" t="s">
        <v>179</v>
      </c>
      <c r="AE575" s="240">
        <f>AF575/AF493</f>
        <v>1.1041568984207004E-2</v>
      </c>
      <c r="AF575" s="242">
        <f>+AF576+AF502</f>
        <v>436820.79000000737</v>
      </c>
      <c r="AG575" s="243"/>
      <c r="AH575" s="243" t="e">
        <f>AF575-Z575</f>
        <v>#N/A</v>
      </c>
      <c r="AI575" s="244" t="e">
        <f>AH575/Z575</f>
        <v>#N/A</v>
      </c>
      <c r="AJ575" s="239" t="s">
        <v>179</v>
      </c>
      <c r="AK575" s="240">
        <f>AL575/AL493</f>
        <v>1.9395904979670121E-2</v>
      </c>
      <c r="AL575" s="242">
        <f>+AL576+AL502</f>
        <v>1040077.8800000129</v>
      </c>
      <c r="AM575" s="245"/>
      <c r="AN575" s="242">
        <f>AF575-AL575</f>
        <v>-603257.09000000556</v>
      </c>
      <c r="AO575" s="246">
        <f>IF(AL575=0,0,AN575/AL575)</f>
        <v>-0.58001146029564443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tr">
        <f t="shared" si="241"/>
        <v>BAIIA OPÉRATIONNEL</v>
      </c>
      <c r="B576" s="3"/>
      <c r="C576" s="33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#N/A</v>
      </c>
      <c r="Z576" s="241" t="e">
        <f>Z570</f>
        <v>#N/A</v>
      </c>
      <c r="AA576" s="239" t="s">
        <v>179</v>
      </c>
      <c r="AB576" s="240" t="e">
        <f>AC576/AC493</f>
        <v>#DIV/0!</v>
      </c>
      <c r="AC576" s="241">
        <f>AC570</f>
        <v>0</v>
      </c>
      <c r="AD576" s="239" t="s">
        <v>179</v>
      </c>
      <c r="AE576" s="240">
        <f>AF576/AF493</f>
        <v>6.4979986109287308E-3</v>
      </c>
      <c r="AF576" s="241">
        <f>AF570</f>
        <v>257070.43000000736</v>
      </c>
      <c r="AG576" s="242"/>
      <c r="AH576" s="243" t="e">
        <f>AF576-Z576</f>
        <v>#N/A</v>
      </c>
      <c r="AI576" s="244" t="e">
        <f>AH576/Z576</f>
        <v>#N/A</v>
      </c>
      <c r="AJ576" s="239" t="s">
        <v>179</v>
      </c>
      <c r="AK576" s="240">
        <f>IF($AL$406=0,0,AL576/$AL$406)</f>
        <v>0</v>
      </c>
      <c r="AL576" s="241">
        <f>AL570</f>
        <v>789878.05000001297</v>
      </c>
      <c r="AM576" s="368"/>
      <c r="AN576" s="369">
        <f>AF576-AL576</f>
        <v>-532807.62000000558</v>
      </c>
      <c r="AO576" s="370">
        <f>IF(AL576=0,0,AN576/AL576)</f>
        <v>-0.67454415273344648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tr">
        <f t="shared" si="241"/>
        <v/>
      </c>
      <c r="B577" s="3"/>
      <c r="C577" s="336"/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8"/>
      <c r="U577" s="358"/>
      <c r="V577" s="371"/>
      <c r="W577" s="6"/>
      <c r="X577" s="6"/>
      <c r="Y577" s="6"/>
      <c r="Z577" s="372"/>
      <c r="AA577" s="6"/>
      <c r="AB577" s="6"/>
      <c r="AC577" s="373"/>
      <c r="AD577" s="6"/>
      <c r="AE577" s="6"/>
      <c r="AF577" s="372"/>
      <c r="AG577" s="6"/>
      <c r="AH577" s="6"/>
      <c r="AI577" s="373"/>
      <c r="AJ577" s="6"/>
      <c r="AK577" s="6"/>
      <c r="AL577" s="372"/>
      <c r="AM577" s="212"/>
      <c r="AN577" s="97"/>
      <c r="AO577" s="374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tr">
        <f t="shared" si="241"/>
        <v>Amortissement</v>
      </c>
      <c r="B578" s="3"/>
      <c r="C578" s="33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 t="e">
        <f>+SUM(START:END!Z578)</f>
        <v>#N/A</v>
      </c>
      <c r="AA578" s="157"/>
      <c r="AB578" s="164">
        <f t="shared" ref="AB578:AB582" si="254">IF(AC578=0,0,AC578/(G$13+G$97))</f>
        <v>0</v>
      </c>
      <c r="AC578" s="158">
        <f>+SUM(START:END!AC578)</f>
        <v>0</v>
      </c>
      <c r="AD578" s="157"/>
      <c r="AE578" s="164"/>
      <c r="AF578" s="158">
        <f>+SUM(START:END!AF578)</f>
        <v>32430</v>
      </c>
      <c r="AG578" s="157"/>
      <c r="AH578" s="160" t="e">
        <f t="shared" ref="AH578:AH585" si="255">AF578-Z578</f>
        <v>#N/A</v>
      </c>
      <c r="AI578" s="177" t="e">
        <f t="shared" ref="AI578:AI584" si="256">IF(Z578=0,0,AH578/Z578)</f>
        <v>#N/A</v>
      </c>
      <c r="AJ578" s="157"/>
      <c r="AK578" s="164"/>
      <c r="AL578" s="158">
        <f>+SUM(START:END!AL578)</f>
        <v>33123.47</v>
      </c>
      <c r="AM578" s="162"/>
      <c r="AN578" s="160">
        <f t="shared" ref="AN578:AN585" si="257">AF578-AL578</f>
        <v>-693.47000000000116</v>
      </c>
      <c r="AO578" s="349">
        <f t="shared" ref="AO578:AO585" si="258">IF(AL578=0,0,AN578/AL578)</f>
        <v>-2.0935910398276542E-2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tr">
        <f t="shared" si="241"/>
        <v>Intérêts sur marge</v>
      </c>
      <c r="B579" s="3"/>
      <c r="C579" s="336"/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 t="e">
        <f>+SUM(START:END!Z579)</f>
        <v>#N/A</v>
      </c>
      <c r="AA579" s="6"/>
      <c r="AB579" s="6">
        <f t="shared" si="254"/>
        <v>0</v>
      </c>
      <c r="AC579" s="158">
        <f>+SUM(START:END!AC579)</f>
        <v>0</v>
      </c>
      <c r="AD579" s="6"/>
      <c r="AE579" s="7"/>
      <c r="AF579" s="158">
        <f>+SUM(START:END!AF579)</f>
        <v>-178.07</v>
      </c>
      <c r="AG579" s="6"/>
      <c r="AH579" s="160" t="e">
        <f t="shared" si="255"/>
        <v>#N/A</v>
      </c>
      <c r="AI579" s="177" t="e">
        <f t="shared" si="256"/>
        <v>#N/A</v>
      </c>
      <c r="AJ579" s="6"/>
      <c r="AK579" s="7"/>
      <c r="AL579" s="158">
        <f>+SUM(START:END!AL579)</f>
        <v>0</v>
      </c>
      <c r="AM579" s="212"/>
      <c r="AN579" s="160">
        <f t="shared" si="257"/>
        <v>-178.07</v>
      </c>
      <c r="AO579" s="349">
        <f t="shared" si="258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tr">
        <f t="shared" si="241"/>
        <v>Intérêts sur prêt</v>
      </c>
      <c r="B580" s="3"/>
      <c r="C580" s="336"/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 t="e">
        <f>+SUM(START:END!Z580)</f>
        <v>#N/A</v>
      </c>
      <c r="AA580" s="6"/>
      <c r="AB580" s="6">
        <f t="shared" si="254"/>
        <v>0</v>
      </c>
      <c r="AC580" s="158">
        <f>+SUM(START:END!AC580)</f>
        <v>0</v>
      </c>
      <c r="AD580" s="6"/>
      <c r="AE580" s="7"/>
      <c r="AF580" s="158">
        <f>+SUM(START:END!AF580)</f>
        <v>23823.429999999993</v>
      </c>
      <c r="AG580" s="6"/>
      <c r="AH580" s="160" t="e">
        <f t="shared" si="255"/>
        <v>#N/A</v>
      </c>
      <c r="AI580" s="177" t="e">
        <f t="shared" si="256"/>
        <v>#N/A</v>
      </c>
      <c r="AJ580" s="6"/>
      <c r="AK580" s="7"/>
      <c r="AL580" s="158">
        <f>+SUM(START:END!AL580)</f>
        <v>0</v>
      </c>
      <c r="AM580" s="212"/>
      <c r="AN580" s="160">
        <f t="shared" si="257"/>
        <v>23823.429999999993</v>
      </c>
      <c r="AO580" s="349">
        <f t="shared" si="258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tr">
        <f t="shared" si="241"/>
        <v>Intérêts sur avance</v>
      </c>
      <c r="B581" s="3"/>
      <c r="C581" s="336"/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 t="e">
        <f>+SUM(START:END!Z581)</f>
        <v>#N/A</v>
      </c>
      <c r="AA581" s="6"/>
      <c r="AB581" s="6">
        <f t="shared" si="254"/>
        <v>0</v>
      </c>
      <c r="AC581" s="158">
        <f>+SUM(START:END!AC581)</f>
        <v>0</v>
      </c>
      <c r="AD581" s="6"/>
      <c r="AE581" s="7"/>
      <c r="AF581" s="158">
        <f>+SUM(START:END!AF581)</f>
        <v>0</v>
      </c>
      <c r="AG581" s="6"/>
      <c r="AH581" s="160" t="e">
        <f t="shared" si="255"/>
        <v>#N/A</v>
      </c>
      <c r="AI581" s="177" t="e">
        <f t="shared" si="256"/>
        <v>#N/A</v>
      </c>
      <c r="AJ581" s="6"/>
      <c r="AK581" s="7"/>
      <c r="AL581" s="158">
        <f>+SUM(START:END!AL581)</f>
        <v>0</v>
      </c>
      <c r="AM581" s="212"/>
      <c r="AN581" s="160">
        <f t="shared" si="257"/>
        <v>0</v>
      </c>
      <c r="AO581" s="349">
        <f t="shared" si="258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260" t="str">
        <f t="shared" si="241"/>
        <v>[...]</v>
      </c>
      <c r="B582" s="3"/>
      <c r="C582" s="336"/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+SUM(START:END!Z582)</f>
        <v>0</v>
      </c>
      <c r="AA582" s="157"/>
      <c r="AB582" s="157">
        <f t="shared" si="254"/>
        <v>0</v>
      </c>
      <c r="AC582" s="158">
        <f>+SUM(START:END!AC582)</f>
        <v>0</v>
      </c>
      <c r="AD582" s="165"/>
      <c r="AE582" s="164"/>
      <c r="AF582" s="158">
        <f>+SUM(START:END!AF582)</f>
        <v>0</v>
      </c>
      <c r="AG582" s="159"/>
      <c r="AH582" s="160">
        <f t="shared" si="255"/>
        <v>0</v>
      </c>
      <c r="AI582" s="161">
        <f t="shared" si="256"/>
        <v>0</v>
      </c>
      <c r="AJ582" s="165"/>
      <c r="AK582" s="164"/>
      <c r="AL582" s="158">
        <f>+SUM(START:END!AL582)</f>
        <v>0</v>
      </c>
      <c r="AM582" s="212"/>
      <c r="AN582" s="160">
        <f t="shared" si="257"/>
        <v>0</v>
      </c>
      <c r="AO582" s="349">
        <f t="shared" si="258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 t="shared" si="241"/>
        <v>Revenus d'intérêts Floor plan</v>
      </c>
      <c r="B583" s="3"/>
      <c r="C583" s="336"/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206</v>
      </c>
      <c r="W583" s="7"/>
      <c r="X583" s="7"/>
      <c r="Y583" s="7"/>
      <c r="Z583" s="158" t="e">
        <f>+SUM(START:END!Z583)</f>
        <v>#N/A</v>
      </c>
      <c r="AA583" s="157"/>
      <c r="AB583" s="157">
        <f>IF(AC583=0,0,AC583/(G$13+G$97))</f>
        <v>0</v>
      </c>
      <c r="AC583" s="158">
        <f>+SUM(START:END!AC583)</f>
        <v>0</v>
      </c>
      <c r="AD583" s="165"/>
      <c r="AE583" s="164"/>
      <c r="AF583" s="158">
        <f>+SUM(START:END!AF583)</f>
        <v>-50.679999999999382</v>
      </c>
      <c r="AG583" s="159"/>
      <c r="AH583" s="160" t="e">
        <f t="shared" si="255"/>
        <v>#N/A</v>
      </c>
      <c r="AI583" s="161" t="e">
        <f t="shared" si="256"/>
        <v>#N/A</v>
      </c>
      <c r="AJ583" s="165"/>
      <c r="AK583" s="164"/>
      <c r="AL583" s="158">
        <f>+SUM(START:END!AL583)</f>
        <v>0</v>
      </c>
      <c r="AM583" s="212"/>
      <c r="AN583" s="160">
        <f t="shared" si="257"/>
        <v>-50.679999999999382</v>
      </c>
      <c r="AO583" s="349">
        <f t="shared" si="258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 thickBot="1">
      <c r="A584" s="260" t="str">
        <f t="shared" si="241"/>
        <v>[...]</v>
      </c>
      <c r="B584" s="3"/>
      <c r="C584" s="336"/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+SUM(START:END!Z584)</f>
        <v>0</v>
      </c>
      <c r="AA584" s="157"/>
      <c r="AB584" s="157">
        <f t="shared" ref="AB584" si="259">IF(AC584=0,0,AC584/(G$13+G$97))</f>
        <v>0</v>
      </c>
      <c r="AC584" s="158">
        <f>+SUM(START:END!AC584)</f>
        <v>0</v>
      </c>
      <c r="AD584" s="165"/>
      <c r="AE584" s="164">
        <f>IF(AF584=0,0,AF584/(J$13+J$97))</f>
        <v>0</v>
      </c>
      <c r="AF584" s="158">
        <f>+SUM(START:END!AF584)</f>
        <v>0</v>
      </c>
      <c r="AG584" s="159"/>
      <c r="AH584" s="160">
        <f t="shared" si="255"/>
        <v>0</v>
      </c>
      <c r="AI584" s="161">
        <f t="shared" si="256"/>
        <v>0</v>
      </c>
      <c r="AJ584" s="165"/>
      <c r="AK584" s="164">
        <f>AL584/(O$13+O$97)</f>
        <v>0</v>
      </c>
      <c r="AL584" s="158">
        <f>+SUM(START:END!AL584)</f>
        <v>0</v>
      </c>
      <c r="AM584" s="212"/>
      <c r="AN584" s="160">
        <f t="shared" si="257"/>
        <v>0</v>
      </c>
      <c r="AO584" s="349">
        <f t="shared" si="258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tr">
        <f t="shared" si="241"/>
        <v>Profit Net</v>
      </c>
      <c r="B585" s="3"/>
      <c r="C585" s="336"/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#N/A</v>
      </c>
      <c r="Z585" s="241" t="e">
        <f>Z576-Z578-Z579-Z580-Z584-Z583-Z581-Z582</f>
        <v>#N/A</v>
      </c>
      <c r="AA585" s="239"/>
      <c r="AB585" s="240"/>
      <c r="AC585" s="241"/>
      <c r="AD585" s="239" t="s">
        <v>179</v>
      </c>
      <c r="AE585" s="240">
        <f>AF585/AF493</f>
        <v>5.0818563777760648E-3</v>
      </c>
      <c r="AF585" s="241">
        <f>AF576-AF578-AF579-AF580-AF584-AF583-AF581-AF582</f>
        <v>201045.75000000736</v>
      </c>
      <c r="AG585" s="243"/>
      <c r="AH585" s="243" t="e">
        <f t="shared" si="255"/>
        <v>#N/A</v>
      </c>
      <c r="AI585" s="244" t="e">
        <f>AH585/Z585</f>
        <v>#N/A</v>
      </c>
      <c r="AJ585" s="239" t="s">
        <v>179</v>
      </c>
      <c r="AK585" s="240">
        <f>IF($AL$407=0,0,AL585/$AL$407)</f>
        <v>0</v>
      </c>
      <c r="AL585" s="241">
        <f>AL576-AL578-AL579-AL580-AL584-AL583-AL581-AL582</f>
        <v>756754.580000013</v>
      </c>
      <c r="AM585" s="245"/>
      <c r="AN585" s="242">
        <f t="shared" si="257"/>
        <v>-555708.83000000566</v>
      </c>
      <c r="AO585" s="246">
        <f t="shared" si="258"/>
        <v>-0.73433163760964104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tr">
        <f t="shared" si="241"/>
        <v/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/>
      <c r="AG587" s="6"/>
      <c r="AH587" s="6"/>
      <c r="AI587" s="6"/>
      <c r="AJ587" s="375"/>
      <c r="AK587" s="376"/>
      <c r="AL587" s="17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>
        <f>AF585-'Mois 1'!AF585-'Mois 2'!AF585-'Mois 3'!AF585</f>
        <v>0</v>
      </c>
      <c r="AG588" s="6"/>
      <c r="AH588" s="6"/>
      <c r="AI588" s="6"/>
      <c r="AJ588" s="6"/>
      <c r="AL588" s="377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8"/>
      <c r="AL589" s="378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79"/>
      <c r="AK590" s="376"/>
      <c r="AL590" s="377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0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0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0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  <mergeCell ref="D171:F171"/>
    <mergeCell ref="G171:I171"/>
    <mergeCell ref="J171:L171"/>
    <mergeCell ref="M171:N171"/>
    <mergeCell ref="O171:Q171"/>
    <mergeCell ref="R171:S171"/>
    <mergeCell ref="D434:F434"/>
    <mergeCell ref="G434:I434"/>
    <mergeCell ref="J434:L434"/>
    <mergeCell ref="M434:N434"/>
    <mergeCell ref="O434:Q434"/>
    <mergeCell ref="R434:S434"/>
    <mergeCell ref="D244:F244"/>
    <mergeCell ref="G244:I244"/>
    <mergeCell ref="J244:L244"/>
    <mergeCell ref="M244:N244"/>
    <mergeCell ref="O244:Q244"/>
    <mergeCell ref="R244:S244"/>
    <mergeCell ref="D312:F312"/>
    <mergeCell ref="G312:I312"/>
    <mergeCell ref="J312:L312"/>
    <mergeCell ref="M312:N312"/>
    <mergeCell ref="O312:Q312"/>
    <mergeCell ref="R312:S312"/>
    <mergeCell ref="D369:F369"/>
    <mergeCell ref="G369:I369"/>
    <mergeCell ref="J369:L369"/>
    <mergeCell ref="M369:N369"/>
    <mergeCell ref="O369:Q369"/>
    <mergeCell ref="R369:S369"/>
    <mergeCell ref="AM491:AO491"/>
    <mergeCell ref="X491:Z491"/>
    <mergeCell ref="AA491:AC491"/>
    <mergeCell ref="AD491:AF491"/>
    <mergeCell ref="AG491:AI491"/>
    <mergeCell ref="AJ491:AL491"/>
  </mergeCells>
  <phoneticPr fontId="17" type="noConversion"/>
  <conditionalFormatting sqref="D113 H180:L181 I184:L185">
    <cfRule type="expression" dxfId="846" priority="144" stopIfTrue="1">
      <formula>"esterreur(reference)"</formula>
    </cfRule>
  </conditionalFormatting>
  <conditionalFormatting sqref="D246:D255">
    <cfRule type="expression" dxfId="845" priority="174" stopIfTrue="1">
      <formula>"esterreur(reference)"</formula>
    </cfRule>
  </conditionalFormatting>
  <conditionalFormatting sqref="D487">
    <cfRule type="expression" dxfId="844" priority="146" stopIfTrue="1">
      <formula>"esterreur(reference)"</formula>
    </cfRule>
  </conditionalFormatting>
  <conditionalFormatting sqref="D186:E192">
    <cfRule type="expression" dxfId="843" priority="117" stopIfTrue="1">
      <formula>"esterreur(reference)"</formula>
    </cfRule>
  </conditionalFormatting>
  <conditionalFormatting sqref="E260">
    <cfRule type="expression" dxfId="842" priority="175" stopIfTrue="1">
      <formula>"esterreur(reference)"</formula>
    </cfRule>
  </conditionalFormatting>
  <conditionalFormatting sqref="F5">
    <cfRule type="expression" dxfId="841" priority="172" stopIfTrue="1">
      <formula>"esterreur(reference)"</formula>
    </cfRule>
  </conditionalFormatting>
  <conditionalFormatting sqref="F84">
    <cfRule type="expression" dxfId="840" priority="171" stopIfTrue="1">
      <formula>"esterreur(reference)"</formula>
    </cfRule>
  </conditionalFormatting>
  <conditionalFormatting sqref="F102">
    <cfRule type="expression" dxfId="839" priority="176" stopIfTrue="1">
      <formula>"esterreur(reference)"</formula>
    </cfRule>
  </conditionalFormatting>
  <conditionalFormatting sqref="F258">
    <cfRule type="expression" dxfId="838" priority="163" stopIfTrue="1">
      <formula>"esterreur(reference)"</formula>
    </cfRule>
  </conditionalFormatting>
  <conditionalFormatting sqref="G31:G32">
    <cfRule type="expression" dxfId="837" priority="169" stopIfTrue="1">
      <formula>"esterreur(reference)"</formula>
    </cfRule>
  </conditionalFormatting>
  <conditionalFormatting sqref="G113:G114">
    <cfRule type="expression" dxfId="836" priority="166" stopIfTrue="1">
      <formula>"esterreur(reference)"</formula>
    </cfRule>
  </conditionalFormatting>
  <conditionalFormatting sqref="G186:G187">
    <cfRule type="expression" dxfId="835" priority="122" stopIfTrue="1">
      <formula>"esterreur(reference)"</formula>
    </cfRule>
  </conditionalFormatting>
  <conditionalFormatting sqref="G246:G255">
    <cfRule type="expression" dxfId="834" priority="173" stopIfTrue="1">
      <formula>"esterreur(reference)"</formula>
    </cfRule>
  </conditionalFormatting>
  <conditionalFormatting sqref="H25:H26 H28:H72">
    <cfRule type="expression" dxfId="833" priority="168" stopIfTrue="1">
      <formula>"esterreur(reference)"</formula>
    </cfRule>
  </conditionalFormatting>
  <conditionalFormatting sqref="H74">
    <cfRule type="expression" dxfId="832" priority="99" stopIfTrue="1">
      <formula>"esterreur(reference)"</formula>
    </cfRule>
  </conditionalFormatting>
  <conditionalFormatting sqref="H83">
    <cfRule type="expression" dxfId="831" priority="96" stopIfTrue="1">
      <formula>"esterreur(reference)"</formula>
    </cfRule>
  </conditionalFormatting>
  <conditionalFormatting sqref="H85">
    <cfRule type="expression" dxfId="830" priority="35" stopIfTrue="1">
      <formula>"esterreur(reference)"</formula>
    </cfRule>
  </conditionalFormatting>
  <conditionalFormatting sqref="H110:H154">
    <cfRule type="expression" dxfId="829" priority="30" stopIfTrue="1">
      <formula>"esterreur(reference)"</formula>
    </cfRule>
  </conditionalFormatting>
  <conditionalFormatting sqref="H156:H158">
    <cfRule type="expression" dxfId="828" priority="92" stopIfTrue="1">
      <formula>"esterreur(reference)"</formula>
    </cfRule>
  </conditionalFormatting>
  <conditionalFormatting sqref="H164">
    <cfRule type="expression" dxfId="827" priority="89" stopIfTrue="1">
      <formula>"esterreur(reference)"</formula>
    </cfRule>
  </conditionalFormatting>
  <conditionalFormatting sqref="H166">
    <cfRule type="expression" dxfId="826" priority="38" stopIfTrue="1">
      <formula>"esterreur(reference)"</formula>
    </cfRule>
  </conditionalFormatting>
  <conditionalFormatting sqref="H183:H227">
    <cfRule type="expression" dxfId="825" priority="26" stopIfTrue="1">
      <formula>"esterreur(reference)"</formula>
    </cfRule>
  </conditionalFormatting>
  <conditionalFormatting sqref="H229:H231">
    <cfRule type="expression" dxfId="824" priority="83" stopIfTrue="1">
      <formula>"esterreur(reference)"</formula>
    </cfRule>
  </conditionalFormatting>
  <conditionalFormatting sqref="H237">
    <cfRule type="expression" dxfId="823" priority="80" stopIfTrue="1">
      <formula>"esterreur(reference)"</formula>
    </cfRule>
  </conditionalFormatting>
  <conditionalFormatting sqref="H239">
    <cfRule type="expression" dxfId="822" priority="41" stopIfTrue="1">
      <formula>"esterreur(reference)"</formula>
    </cfRule>
  </conditionalFormatting>
  <conditionalFormatting sqref="H269">
    <cfRule type="expression" dxfId="821" priority="23" stopIfTrue="1">
      <formula>"esterreur(reference)"</formula>
    </cfRule>
  </conditionalFormatting>
  <conditionalFormatting sqref="H272:H303">
    <cfRule type="expression" dxfId="820" priority="77" stopIfTrue="1">
      <formula>"esterreur(reference)"</formula>
    </cfRule>
  </conditionalFormatting>
  <conditionalFormatting sqref="H305">
    <cfRule type="expression" dxfId="819" priority="75" stopIfTrue="1">
      <formula>"esterreur(reference)"</formula>
    </cfRule>
  </conditionalFormatting>
  <conditionalFormatting sqref="H307">
    <cfRule type="expression" dxfId="818" priority="44" stopIfTrue="1">
      <formula>"esterreur(reference)"</formula>
    </cfRule>
  </conditionalFormatting>
  <conditionalFormatting sqref="H327">
    <cfRule type="expression" dxfId="817" priority="19" stopIfTrue="1">
      <formula>"esterreur(reference)"</formula>
    </cfRule>
  </conditionalFormatting>
  <conditionalFormatting sqref="H330:H361">
    <cfRule type="expression" dxfId="816" priority="71" stopIfTrue="1">
      <formula>"esterreur(reference)"</formula>
    </cfRule>
  </conditionalFormatting>
  <conditionalFormatting sqref="H363">
    <cfRule type="expression" dxfId="815" priority="69" stopIfTrue="1">
      <formula>"esterreur(reference)"</formula>
    </cfRule>
  </conditionalFormatting>
  <conditionalFormatting sqref="H365">
    <cfRule type="expression" dxfId="814" priority="47" stopIfTrue="1">
      <formula>"esterreur(reference)"</formula>
    </cfRule>
  </conditionalFormatting>
  <conditionalFormatting sqref="H391">
    <cfRule type="expression" dxfId="813" priority="16" stopIfTrue="1">
      <formula>"esterreur(reference)"</formula>
    </cfRule>
  </conditionalFormatting>
  <conditionalFormatting sqref="H394:H425">
    <cfRule type="expression" dxfId="812" priority="66" stopIfTrue="1">
      <formula>"esterreur(reference)"</formula>
    </cfRule>
  </conditionalFormatting>
  <conditionalFormatting sqref="H427">
    <cfRule type="expression" dxfId="811" priority="64" stopIfTrue="1">
      <formula>"esterreur(reference)"</formula>
    </cfRule>
  </conditionalFormatting>
  <conditionalFormatting sqref="H429:H431">
    <cfRule type="expression" dxfId="810" priority="50" stopIfTrue="1">
      <formula>"esterreur(reference)"</formula>
    </cfRule>
  </conditionalFormatting>
  <conditionalFormatting sqref="H449">
    <cfRule type="expression" dxfId="809" priority="12" stopIfTrue="1">
      <formula>"esterreur(reference)"</formula>
    </cfRule>
  </conditionalFormatting>
  <conditionalFormatting sqref="H452:H482">
    <cfRule type="expression" dxfId="808" priority="59" stopIfTrue="1">
      <formula>"esterreur(reference)"</formula>
    </cfRule>
  </conditionalFormatting>
  <conditionalFormatting sqref="H484">
    <cfRule type="expression" dxfId="807" priority="56" stopIfTrue="1">
      <formula>"esterreur(reference)"</formula>
    </cfRule>
  </conditionalFormatting>
  <conditionalFormatting sqref="H486:H487">
    <cfRule type="expression" dxfId="806" priority="9" stopIfTrue="1">
      <formula>"esterreur(reference)"</formula>
    </cfRule>
  </conditionalFormatting>
  <conditionalFormatting sqref="H433:I433 K433:L433 J433:J434">
    <cfRule type="expression" dxfId="805" priority="153" stopIfTrue="1">
      <formula>"esterreur(reference)"</formula>
    </cfRule>
  </conditionalFormatting>
  <conditionalFormatting sqref="H317:J317">
    <cfRule type="expression" dxfId="804" priority="140" stopIfTrue="1">
      <formula>"esterreur(reference)"</formula>
    </cfRule>
  </conditionalFormatting>
  <conditionalFormatting sqref="H439:J439">
    <cfRule type="expression" dxfId="803" priority="114" stopIfTrue="1">
      <formula>"esterreur(reference)"</formula>
    </cfRule>
  </conditionalFormatting>
  <conditionalFormatting sqref="H435:L436">
    <cfRule type="expression" dxfId="802" priority="110" stopIfTrue="1">
      <formula>"esterreur(reference)"</formula>
    </cfRule>
  </conditionalFormatting>
  <conditionalFormatting sqref="H447:L447 H450:L451">
    <cfRule type="expression" dxfId="801" priority="109" stopIfTrue="1">
      <formula>"esterreur(reference)"</formula>
    </cfRule>
  </conditionalFormatting>
  <conditionalFormatting sqref="H483:L483 H485:L485">
    <cfRule type="expression" dxfId="800" priority="154" stopIfTrue="1">
      <formula>"esterreur(reference)"</formula>
    </cfRule>
  </conditionalFormatting>
  <conditionalFormatting sqref="I16:I18 I20 I24:I30">
    <cfRule type="expression" dxfId="799" priority="170" stopIfTrue="1">
      <formula>"esterreur(reference)"</formula>
    </cfRule>
  </conditionalFormatting>
  <conditionalFormatting sqref="I109:I110">
    <cfRule type="expression" dxfId="798" priority="31" stopIfTrue="1">
      <formula>"esterreur(reference)"</formula>
    </cfRule>
  </conditionalFormatting>
  <conditionalFormatting sqref="I182:I183">
    <cfRule type="expression" dxfId="797" priority="27" stopIfTrue="1">
      <formula>"esterreur(reference)"</formula>
    </cfRule>
  </conditionalFormatting>
  <conditionalFormatting sqref="I268:I269">
    <cfRule type="expression" dxfId="796" priority="24" stopIfTrue="1">
      <formula>"esterreur(reference)"</formula>
    </cfRule>
  </conditionalFormatting>
  <conditionalFormatting sqref="I326:I327">
    <cfRule type="expression" dxfId="795" priority="20" stopIfTrue="1">
      <formula>"esterreur(reference)"</formula>
    </cfRule>
  </conditionalFormatting>
  <conditionalFormatting sqref="I390:I391">
    <cfRule type="expression" dxfId="794" priority="17" stopIfTrue="1">
      <formula>"esterreur(reference)"</formula>
    </cfRule>
  </conditionalFormatting>
  <conditionalFormatting sqref="I448:I449">
    <cfRule type="expression" dxfId="793" priority="13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792" priority="147" stopIfTrue="1">
      <formula>"esterreur(reference)"</formula>
    </cfRule>
  </conditionalFormatting>
  <conditionalFormatting sqref="J16 L16:L24">
    <cfRule type="expression" dxfId="791" priority="142" stopIfTrue="1">
      <formula>"esterreur(reference)"</formula>
    </cfRule>
  </conditionalFormatting>
  <conditionalFormatting sqref="J182 J183:L183">
    <cfRule type="expression" dxfId="790" priority="28" stopIfTrue="1">
      <formula>"esterreur(reference)"</formula>
    </cfRule>
  </conditionalFormatting>
  <conditionalFormatting sqref="J326 J327:K327">
    <cfRule type="expression" dxfId="789" priority="21" stopIfTrue="1">
      <formula>"esterreur(reference)"</formula>
    </cfRule>
  </conditionalFormatting>
  <conditionalFormatting sqref="J371:J390">
    <cfRule type="expression" dxfId="788" priority="10" stopIfTrue="1">
      <formula>"esterreur(reference)"</formula>
    </cfRule>
  </conditionalFormatting>
  <conditionalFormatting sqref="J448 J449:K449">
    <cfRule type="expression" dxfId="787" priority="14" stopIfTrue="1">
      <formula>"esterreur(reference)"</formula>
    </cfRule>
  </conditionalFormatting>
  <conditionalFormatting sqref="J54:K54">
    <cfRule type="expression" dxfId="786" priority="103" stopIfTrue="1">
      <formula>"esterreur(reference)"</formula>
    </cfRule>
  </conditionalFormatting>
  <conditionalFormatting sqref="J72:K72">
    <cfRule type="expression" dxfId="785" priority="101" stopIfTrue="1">
      <formula>"esterreur(reference)"</formula>
    </cfRule>
  </conditionalFormatting>
  <conditionalFormatting sqref="J74:K74">
    <cfRule type="expression" dxfId="784" priority="98" stopIfTrue="1">
      <formula>"esterreur(reference)"</formula>
    </cfRule>
  </conditionalFormatting>
  <conditionalFormatting sqref="J85:K85">
    <cfRule type="expression" dxfId="783" priority="34" stopIfTrue="1">
      <formula>"esterreur(reference)"</formula>
    </cfRule>
  </conditionalFormatting>
  <conditionalFormatting sqref="J156:K158">
    <cfRule type="expression" dxfId="782" priority="91" stopIfTrue="1">
      <formula>"esterreur(reference)"</formula>
    </cfRule>
  </conditionalFormatting>
  <conditionalFormatting sqref="J164:K164">
    <cfRule type="expression" dxfId="781" priority="88" stopIfTrue="1">
      <formula>"esterreur(reference)"</formula>
    </cfRule>
  </conditionalFormatting>
  <conditionalFormatting sqref="J166:K166">
    <cfRule type="expression" dxfId="780" priority="37" stopIfTrue="1">
      <formula>"esterreur(reference)"</formula>
    </cfRule>
  </conditionalFormatting>
  <conditionalFormatting sqref="J229:K231">
    <cfRule type="expression" dxfId="779" priority="82" stopIfTrue="1">
      <formula>"esterreur(reference)"</formula>
    </cfRule>
  </conditionalFormatting>
  <conditionalFormatting sqref="J237:K237">
    <cfRule type="expression" dxfId="778" priority="79" stopIfTrue="1">
      <formula>"esterreur(reference)"</formula>
    </cfRule>
  </conditionalFormatting>
  <conditionalFormatting sqref="J239:K239">
    <cfRule type="expression" dxfId="777" priority="40" stopIfTrue="1">
      <formula>"esterreur(reference)"</formula>
    </cfRule>
  </conditionalFormatting>
  <conditionalFormatting sqref="J305:K305">
    <cfRule type="expression" dxfId="776" priority="74" stopIfTrue="1">
      <formula>"esterreur(reference)"</formula>
    </cfRule>
  </conditionalFormatting>
  <conditionalFormatting sqref="J307:K307">
    <cfRule type="expression" dxfId="775" priority="43" stopIfTrue="1">
      <formula>"esterreur(reference)"</formula>
    </cfRule>
  </conditionalFormatting>
  <conditionalFormatting sqref="J363:K363">
    <cfRule type="expression" dxfId="774" priority="68" stopIfTrue="1">
      <formula>"esterreur(reference)"</formula>
    </cfRule>
  </conditionalFormatting>
  <conditionalFormatting sqref="J365:K365">
    <cfRule type="expression" dxfId="773" priority="46" stopIfTrue="1">
      <formula>"esterreur(reference)"</formula>
    </cfRule>
  </conditionalFormatting>
  <conditionalFormatting sqref="J427:K427">
    <cfRule type="expression" dxfId="772" priority="63" stopIfTrue="1">
      <formula>"esterreur(reference)"</formula>
    </cfRule>
  </conditionalFormatting>
  <conditionalFormatting sqref="J429:K431">
    <cfRule type="expression" dxfId="771" priority="49" stopIfTrue="1">
      <formula>"esterreur(reference)"</formula>
    </cfRule>
  </conditionalFormatting>
  <conditionalFormatting sqref="J464:K464">
    <cfRule type="expression" dxfId="770" priority="61" stopIfTrue="1">
      <formula>"esterreur(reference)"</formula>
    </cfRule>
  </conditionalFormatting>
  <conditionalFormatting sqref="J482:K482">
    <cfRule type="expression" dxfId="769" priority="58" stopIfTrue="1">
      <formula>"esterreur(reference)"</formula>
    </cfRule>
  </conditionalFormatting>
  <conditionalFormatting sqref="J484:K484">
    <cfRule type="expression" dxfId="768" priority="55" stopIfTrue="1">
      <formula>"esterreur(reference)"</formula>
    </cfRule>
  </conditionalFormatting>
  <conditionalFormatting sqref="J486:K487">
    <cfRule type="expression" dxfId="767" priority="8" stopIfTrue="1">
      <formula>"esterreur(reference)"</formula>
    </cfRule>
  </conditionalFormatting>
  <conditionalFormatting sqref="J53:L53 J55:L71">
    <cfRule type="expression" dxfId="766" priority="141" stopIfTrue="1">
      <formula>"esterreur(reference)"</formula>
    </cfRule>
  </conditionalFormatting>
  <conditionalFormatting sqref="J103:L105">
    <cfRule type="expression" dxfId="765" priority="2" stopIfTrue="1">
      <formula>"esterreur(reference)"</formula>
    </cfRule>
  </conditionalFormatting>
  <conditionalFormatting sqref="J465:L481">
    <cfRule type="expression" dxfId="764" priority="155" stopIfTrue="1">
      <formula>"esterreur(reference)"</formula>
    </cfRule>
  </conditionalFormatting>
  <conditionalFormatting sqref="K5">
    <cfRule type="expression" dxfId="763" priority="162" stopIfTrue="1">
      <formula>"esterreur(reference)"</formula>
    </cfRule>
  </conditionalFormatting>
  <conditionalFormatting sqref="K321:L321">
    <cfRule type="expression" dxfId="762" priority="160" stopIfTrue="1">
      <formula>"esterreur(reference)"</formula>
    </cfRule>
  </conditionalFormatting>
  <conditionalFormatting sqref="K437:L437 K439:L440">
    <cfRule type="expression" dxfId="761" priority="115" stopIfTrue="1">
      <formula>"esterreur(reference)"</formula>
    </cfRule>
  </conditionalFormatting>
  <conditionalFormatting sqref="K443:L443">
    <cfRule type="expression" dxfId="760" priority="116" stopIfTrue="1">
      <formula>"esterreur(reference)"</formula>
    </cfRule>
  </conditionalFormatting>
  <conditionalFormatting sqref="L5:L14">
    <cfRule type="expression" dxfId="759" priority="32" stopIfTrue="1">
      <formula>"esterreur(reference)"</formula>
    </cfRule>
  </conditionalFormatting>
  <conditionalFormatting sqref="L75:L82">
    <cfRule type="expression" dxfId="758" priority="149" stopIfTrue="1">
      <formula>"esterreur(reference)"</formula>
    </cfRule>
  </conditionalFormatting>
  <conditionalFormatting sqref="L157:L163">
    <cfRule type="expression" dxfId="757" priority="159" stopIfTrue="1">
      <formula>"esterreur(reference)"</formula>
    </cfRule>
  </conditionalFormatting>
  <conditionalFormatting sqref="L230:L236">
    <cfRule type="expression" dxfId="756" priority="121" stopIfTrue="1">
      <formula>"esterreur(reference)"</formula>
    </cfRule>
  </conditionalFormatting>
  <conditionalFormatting sqref="L272:L283">
    <cfRule type="expression" dxfId="755" priority="157" stopIfTrue="1">
      <formula>"esterreur(reference)"</formula>
    </cfRule>
  </conditionalFormatting>
  <conditionalFormatting sqref="L285:L302">
    <cfRule type="expression" dxfId="754" priority="158" stopIfTrue="1">
      <formula>"esterreur(reference)"</formula>
    </cfRule>
  </conditionalFormatting>
  <conditionalFormatting sqref="L324">
    <cfRule type="expression" dxfId="753" priority="106" stopIfTrue="1">
      <formula>"esterreur(reference)"</formula>
    </cfRule>
  </conditionalFormatting>
  <conditionalFormatting sqref="L330:L341">
    <cfRule type="expression" dxfId="752" priority="161" stopIfTrue="1">
      <formula>"esterreur(reference)"</formula>
    </cfRule>
  </conditionalFormatting>
  <conditionalFormatting sqref="L422:L424">
    <cfRule type="expression" dxfId="751" priority="156" stopIfTrue="1">
      <formula>"esterreur(reference)"</formula>
    </cfRule>
  </conditionalFormatting>
  <conditionalFormatting sqref="L446">
    <cfRule type="expression" dxfId="750" priority="4" stopIfTrue="1">
      <formula>"esterreur(reference)"</formula>
    </cfRule>
  </conditionalFormatting>
  <conditionalFormatting sqref="M95:M97">
    <cfRule type="expression" dxfId="749" priority="148" stopIfTrue="1">
      <formula>"esterreur(reference)"</formula>
    </cfRule>
  </conditionalFormatting>
  <conditionalFormatting sqref="M177:M179">
    <cfRule type="expression" dxfId="748" priority="120" stopIfTrue="1">
      <formula>"esterreur(reference)"</formula>
    </cfRule>
  </conditionalFormatting>
  <conditionalFormatting sqref="N283">
    <cfRule type="expression" dxfId="747" priority="143" stopIfTrue="1">
      <formula>"esterreur(reference)"</formula>
    </cfRule>
  </conditionalFormatting>
  <conditionalFormatting sqref="N394:N404">
    <cfRule type="expression" dxfId="746" priority="145" stopIfTrue="1">
      <formula>"esterreur(reference)"</formula>
    </cfRule>
  </conditionalFormatting>
  <conditionalFormatting sqref="N271:Q271">
    <cfRule type="expression" dxfId="745" priority="131" stopIfTrue="1">
      <formula>"esterreur(reference)"</formula>
    </cfRule>
  </conditionalFormatting>
  <conditionalFormatting sqref="O16 Q16:Q24">
    <cfRule type="expression" dxfId="744" priority="136" stopIfTrue="1">
      <formula>"esterreur(reference)"</formula>
    </cfRule>
  </conditionalFormatting>
  <conditionalFormatting sqref="O109 O110:Q122">
    <cfRule type="expression" dxfId="743" priority="29" stopIfTrue="1">
      <formula>"esterreur(reference)"</formula>
    </cfRule>
  </conditionalFormatting>
  <conditionalFormatting sqref="O182 O183:Q195">
    <cfRule type="expression" dxfId="742" priority="25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741" priority="130" stopIfTrue="1">
      <formula>"esterreur(reference)"</formula>
    </cfRule>
  </conditionalFormatting>
  <conditionalFormatting sqref="O266:O268 O269:P269">
    <cfRule type="expression" dxfId="740" priority="22" stopIfTrue="1">
      <formula>"esterreur(reference)"</formula>
    </cfRule>
  </conditionalFormatting>
  <conditionalFormatting sqref="O317">
    <cfRule type="expression" dxfId="739" priority="126" stopIfTrue="1">
      <formula>"esterreur(reference)"</formula>
    </cfRule>
  </conditionalFormatting>
  <conditionalFormatting sqref="O326 O327:P327">
    <cfRule type="expression" dxfId="738" priority="18" stopIfTrue="1">
      <formula>"esterreur(reference)"</formula>
    </cfRule>
  </conditionalFormatting>
  <conditionalFormatting sqref="O390 O391:P391">
    <cfRule type="expression" dxfId="737" priority="15" stopIfTrue="1">
      <formula>"esterreur(reference)"</formula>
    </cfRule>
  </conditionalFormatting>
  <conditionalFormatting sqref="O439">
    <cfRule type="expression" dxfId="736" priority="111" stopIfTrue="1">
      <formula>"esterreur(reference)"</formula>
    </cfRule>
  </conditionalFormatting>
  <conditionalFormatting sqref="O448 O449:P449">
    <cfRule type="expression" dxfId="735" priority="11" stopIfTrue="1">
      <formula>"esterreur(reference)"</formula>
    </cfRule>
  </conditionalFormatting>
  <conditionalFormatting sqref="O54:P54">
    <cfRule type="expression" dxfId="734" priority="102" stopIfTrue="1">
      <formula>"esterreur(reference)"</formula>
    </cfRule>
  </conditionalFormatting>
  <conditionalFormatting sqref="O72:P72">
    <cfRule type="expression" dxfId="733" priority="100" stopIfTrue="1">
      <formula>"esterreur(reference)"</formula>
    </cfRule>
  </conditionalFormatting>
  <conditionalFormatting sqref="O74:P74">
    <cfRule type="expression" dxfId="732" priority="97" stopIfTrue="1">
      <formula>"esterreur(reference)"</formula>
    </cfRule>
  </conditionalFormatting>
  <conditionalFormatting sqref="O85:P85">
    <cfRule type="expression" dxfId="731" priority="33" stopIfTrue="1">
      <formula>"esterreur(reference)"</formula>
    </cfRule>
  </conditionalFormatting>
  <conditionalFormatting sqref="O123:P133">
    <cfRule type="expression" dxfId="730" priority="95" stopIfTrue="1">
      <formula>"esterreur(reference)"</formula>
    </cfRule>
  </conditionalFormatting>
  <conditionalFormatting sqref="O136:P136">
    <cfRule type="expression" dxfId="729" priority="94" stopIfTrue="1">
      <formula>"esterreur(reference)"</formula>
    </cfRule>
  </conditionalFormatting>
  <conditionalFormatting sqref="O154:P154">
    <cfRule type="expression" dxfId="728" priority="93" stopIfTrue="1">
      <formula>"esterreur(reference)"</formula>
    </cfRule>
  </conditionalFormatting>
  <conditionalFormatting sqref="O156:P158">
    <cfRule type="expression" dxfId="727" priority="90" stopIfTrue="1">
      <formula>"esterreur(reference)"</formula>
    </cfRule>
  </conditionalFormatting>
  <conditionalFormatting sqref="O164:P164">
    <cfRule type="expression" dxfId="726" priority="87" stopIfTrue="1">
      <formula>"esterreur(reference)"</formula>
    </cfRule>
  </conditionalFormatting>
  <conditionalFormatting sqref="O166:P166">
    <cfRule type="expression" dxfId="725" priority="36" stopIfTrue="1">
      <formula>"esterreur(reference)"</formula>
    </cfRule>
  </conditionalFormatting>
  <conditionalFormatting sqref="O196:P206">
    <cfRule type="expression" dxfId="724" priority="86" stopIfTrue="1">
      <formula>"esterreur(reference)"</formula>
    </cfRule>
  </conditionalFormatting>
  <conditionalFormatting sqref="O209:P209">
    <cfRule type="expression" dxfId="723" priority="85" stopIfTrue="1">
      <formula>"esterreur(reference)"</formula>
    </cfRule>
  </conditionalFormatting>
  <conditionalFormatting sqref="O227:P227">
    <cfRule type="expression" dxfId="722" priority="84" stopIfTrue="1">
      <formula>"esterreur(reference)"</formula>
    </cfRule>
  </conditionalFormatting>
  <conditionalFormatting sqref="O229:P231">
    <cfRule type="expression" dxfId="721" priority="81" stopIfTrue="1">
      <formula>"esterreur(reference)"</formula>
    </cfRule>
  </conditionalFormatting>
  <conditionalFormatting sqref="O237:P237">
    <cfRule type="expression" dxfId="720" priority="78" stopIfTrue="1">
      <formula>"esterreur(reference)"</formula>
    </cfRule>
  </conditionalFormatting>
  <conditionalFormatting sqref="O239:P239">
    <cfRule type="expression" dxfId="719" priority="39" stopIfTrue="1">
      <formula>"esterreur(reference)"</formula>
    </cfRule>
  </conditionalFormatting>
  <conditionalFormatting sqref="O276:P303">
    <cfRule type="expression" dxfId="718" priority="76" stopIfTrue="1">
      <formula>"esterreur(reference)"</formula>
    </cfRule>
  </conditionalFormatting>
  <conditionalFormatting sqref="O305:P305">
    <cfRule type="expression" dxfId="717" priority="73" stopIfTrue="1">
      <formula>"esterreur(reference)"</formula>
    </cfRule>
  </conditionalFormatting>
  <conditionalFormatting sqref="O307:P307">
    <cfRule type="expression" dxfId="716" priority="42" stopIfTrue="1">
      <formula>"esterreur(reference)"</formula>
    </cfRule>
  </conditionalFormatting>
  <conditionalFormatting sqref="O330:P342">
    <cfRule type="expression" dxfId="715" priority="72" stopIfTrue="1">
      <formula>"esterreur(reference)"</formula>
    </cfRule>
  </conditionalFormatting>
  <conditionalFormatting sqref="O361:P361">
    <cfRule type="expression" dxfId="714" priority="70" stopIfTrue="1">
      <formula>"esterreur(reference)"</formula>
    </cfRule>
  </conditionalFormatting>
  <conditionalFormatting sqref="O363:P363">
    <cfRule type="expression" dxfId="713" priority="67" stopIfTrue="1">
      <formula>"esterreur(reference)"</formula>
    </cfRule>
  </conditionalFormatting>
  <conditionalFormatting sqref="O365:P365">
    <cfRule type="expression" dxfId="712" priority="45" stopIfTrue="1">
      <formula>"esterreur(reference)"</formula>
    </cfRule>
  </conditionalFormatting>
  <conditionalFormatting sqref="O371:P379 O380:Q382 O383:P384 O385:Q389 O392:Q405 O428:Q428">
    <cfRule type="expression" dxfId="711" priority="124" stopIfTrue="1">
      <formula>"esterreur(reference)"</formula>
    </cfRule>
  </conditionalFormatting>
  <conditionalFormatting sqref="O406:P425">
    <cfRule type="expression" dxfId="710" priority="65" stopIfTrue="1">
      <formula>"esterreur(reference)"</formula>
    </cfRule>
  </conditionalFormatting>
  <conditionalFormatting sqref="O427:P427">
    <cfRule type="expression" dxfId="709" priority="62" stopIfTrue="1">
      <formula>"esterreur(reference)"</formula>
    </cfRule>
  </conditionalFormatting>
  <conditionalFormatting sqref="O429:P429">
    <cfRule type="expression" dxfId="708" priority="48" stopIfTrue="1">
      <formula>"esterreur(reference)"</formula>
    </cfRule>
  </conditionalFormatting>
  <conditionalFormatting sqref="O464:P464">
    <cfRule type="expression" dxfId="707" priority="60" stopIfTrue="1">
      <formula>"esterreur(reference)"</formula>
    </cfRule>
  </conditionalFormatting>
  <conditionalFormatting sqref="O482:P482">
    <cfRule type="expression" dxfId="706" priority="57" stopIfTrue="1">
      <formula>"esterreur(reference)"</formula>
    </cfRule>
  </conditionalFormatting>
  <conditionalFormatting sqref="O484:P484">
    <cfRule type="expression" dxfId="705" priority="54" stopIfTrue="1">
      <formula>"esterreur(reference)"</formula>
    </cfRule>
  </conditionalFormatting>
  <conditionalFormatting sqref="O486:P486">
    <cfRule type="expression" dxfId="704" priority="7" stopIfTrue="1">
      <formula>"esterreur(reference)"</formula>
    </cfRule>
  </conditionalFormatting>
  <conditionalFormatting sqref="O53:Q53 O55:Q71">
    <cfRule type="expression" dxfId="703" priority="135" stopIfTrue="1">
      <formula>"esterreur(reference)"</formula>
    </cfRule>
  </conditionalFormatting>
  <conditionalFormatting sqref="O102:Q108">
    <cfRule type="expression" dxfId="702" priority="1" stopIfTrue="1">
      <formula>"esterreur(reference)"</formula>
    </cfRule>
  </conditionalFormatting>
  <conditionalFormatting sqref="O180:Q181">
    <cfRule type="expression" dxfId="701" priority="118" stopIfTrue="1">
      <formula>"esterreur(reference)"</formula>
    </cfRule>
  </conditionalFormatting>
  <conditionalFormatting sqref="O436:Q436">
    <cfRule type="expression" dxfId="700" priority="123" stopIfTrue="1">
      <formula>"esterreur(reference)"</formula>
    </cfRule>
  </conditionalFormatting>
  <conditionalFormatting sqref="O447:Q447 O450:Q463 O465:Q481">
    <cfRule type="expression" dxfId="699" priority="108" stopIfTrue="1">
      <formula>"esterreur(reference)"</formula>
    </cfRule>
  </conditionalFormatting>
  <conditionalFormatting sqref="O483:Q483 O485:Q485">
    <cfRule type="expression" dxfId="698" priority="107" stopIfTrue="1">
      <formula>"esterreur(reference)"</formula>
    </cfRule>
  </conditionalFormatting>
  <conditionalFormatting sqref="P5:Q5">
    <cfRule type="expression" dxfId="697" priority="139" stopIfTrue="1">
      <formula>"esterreur(reference)"</formula>
    </cfRule>
  </conditionalFormatting>
  <conditionalFormatting sqref="P315:Q315 P317:Q318 O328:Q329 O343:Q360 O364:Q364">
    <cfRule type="expression" dxfId="696" priority="127" stopIfTrue="1">
      <formula>"esterreur(reference)"</formula>
    </cfRule>
  </conditionalFormatting>
  <conditionalFormatting sqref="P321:Q321">
    <cfRule type="expression" dxfId="695" priority="128" stopIfTrue="1">
      <formula>"esterreur(reference)"</formula>
    </cfRule>
  </conditionalFormatting>
  <conditionalFormatting sqref="P437:Q437 P439:Q440">
    <cfRule type="expression" dxfId="694" priority="112" stopIfTrue="1">
      <formula>"esterreur(reference)"</formula>
    </cfRule>
  </conditionalFormatting>
  <conditionalFormatting sqref="P443:Q443">
    <cfRule type="expression" dxfId="693" priority="113" stopIfTrue="1">
      <formula>"esterreur(reference)"</formula>
    </cfRule>
  </conditionalFormatting>
  <conditionalFormatting sqref="Q6:Q14 O13:O14 O18:O24 O25:Q26 O27 O28:Q30 O31:P36 O37 O38:P52 O83:P83 O84:Q84">
    <cfRule type="expression" dxfId="692" priority="137" stopIfTrue="1">
      <formula>"esterreur(reference)"</formula>
    </cfRule>
  </conditionalFormatting>
  <conditionalFormatting sqref="Q75:Q82">
    <cfRule type="expression" dxfId="691" priority="138" stopIfTrue="1">
      <formula>"esterreur(reference)"</formula>
    </cfRule>
  </conditionalFormatting>
  <conditionalFormatting sqref="Q157:Q163">
    <cfRule type="expression" dxfId="690" priority="134" stopIfTrue="1">
      <formula>"esterreur(reference)"</formula>
    </cfRule>
  </conditionalFormatting>
  <conditionalFormatting sqref="Q230:Q236">
    <cfRule type="expression" dxfId="689" priority="119" stopIfTrue="1">
      <formula>"esterreur(reference)"</formula>
    </cfRule>
  </conditionalFormatting>
  <conditionalFormatting sqref="Q259">
    <cfRule type="expression" dxfId="688" priority="104" stopIfTrue="1">
      <formula>"esterreur(reference)"</formula>
    </cfRule>
  </conditionalFormatting>
  <conditionalFormatting sqref="Q272:Q283">
    <cfRule type="expression" dxfId="687" priority="132" stopIfTrue="1">
      <formula>"esterreur(reference)"</formula>
    </cfRule>
  </conditionalFormatting>
  <conditionalFormatting sqref="Q285:Q302">
    <cfRule type="expression" dxfId="686" priority="133" stopIfTrue="1">
      <formula>"esterreur(reference)"</formula>
    </cfRule>
  </conditionalFormatting>
  <conditionalFormatting sqref="Q324">
    <cfRule type="expression" dxfId="685" priority="105" stopIfTrue="1">
      <formula>"esterreur(reference)"</formula>
    </cfRule>
  </conditionalFormatting>
  <conditionalFormatting sqref="Q330:Q341">
    <cfRule type="expression" dxfId="684" priority="129" stopIfTrue="1">
      <formula>"esterreur(reference)"</formula>
    </cfRule>
  </conditionalFormatting>
  <conditionalFormatting sqref="Q422:Q424">
    <cfRule type="expression" dxfId="683" priority="125" stopIfTrue="1">
      <formula>"esterreur(reference)"</formula>
    </cfRule>
  </conditionalFormatting>
  <conditionalFormatting sqref="Q446">
    <cfRule type="expression" dxfId="682" priority="3" stopIfTrue="1">
      <formula>"esterreur(reference)"</formula>
    </cfRule>
  </conditionalFormatting>
  <conditionalFormatting sqref="R388">
    <cfRule type="expression" dxfId="681" priority="150" stopIfTrue="1">
      <formula>"esterreur(reference)"</formula>
    </cfRule>
  </conditionalFormatting>
  <conditionalFormatting sqref="S260">
    <cfRule type="expression" dxfId="680" priority="164" stopIfTrue="1">
      <formula>"esterreur(reference)"</formula>
    </cfRule>
  </conditionalFormatting>
  <conditionalFormatting sqref="AG496:AI505 AH507:AI519 AH521:AI538 AH540:AI547 AH548:AH549 AH550:AI552 AH554:AI554 AH578:AI584">
    <cfRule type="cellIs" dxfId="679" priority="151" operator="greaterThan">
      <formula>0</formula>
    </cfRule>
  </conditionalFormatting>
  <conditionalFormatting sqref="AH556:AI563 AH567:AI567">
    <cfRule type="cellIs" dxfId="678" priority="152" operator="lessThan">
      <formula>0</formula>
    </cfRule>
  </conditionalFormatting>
  <conditionalFormatting sqref="AH564:AI566">
    <cfRule type="cellIs" dxfId="677" priority="167" operator="greaterThan">
      <formula>0</formula>
    </cfRule>
  </conditionalFormatting>
  <conditionalFormatting sqref="AO496:AO505">
    <cfRule type="cellIs" dxfId="676" priority="165" operator="greaterThan">
      <formula>0</formula>
    </cfRule>
  </conditionalFormatting>
  <printOptions horizontalCentered="1"/>
  <pageMargins left="0" right="0" top="0.511811023622047" bottom="0.23622047244094499" header="0" footer="0"/>
  <pageSetup scale="46" fitToHeight="0" orientation="landscape" r:id="rId1"/>
  <rowBreaks count="6" manualBreakCount="6">
    <brk id="86" min="2" max="18" man="1"/>
    <brk id="167" min="2" max="18" man="1"/>
    <brk id="240" min="2" max="18" man="1"/>
    <brk id="308" min="2" max="18" man="1"/>
    <brk id="366" min="2" max="18" man="1"/>
    <brk id="430" min="2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/>
  <dimension ref="A1:BJ780"/>
  <sheetViews>
    <sheetView topLeftCell="L533" zoomScale="60" zoomScaleNormal="60" workbookViewId="0">
      <selection activeCell="K465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1" max="21" width="11.625" style="382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218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517</v>
      </c>
      <c r="T1" s="1" t="s">
        <v>1</v>
      </c>
      <c r="U1" s="38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208</v>
      </c>
      <c r="K2" s="5"/>
      <c r="L2" s="5" t="s">
        <v>209</v>
      </c>
      <c r="M2" s="6"/>
      <c r="N2" s="6"/>
      <c r="O2" s="5" t="s">
        <v>208</v>
      </c>
      <c r="P2" s="5"/>
      <c r="Q2" s="5" t="s">
        <v>209</v>
      </c>
      <c r="R2" s="6"/>
      <c r="S2" s="6"/>
      <c r="T2" s="6"/>
      <c r="U2" s="6"/>
      <c r="V2" s="282" t="s">
        <v>271</v>
      </c>
      <c r="W2" s="283"/>
    </row>
    <row r="3" spans="1:40" ht="21" thickTop="1">
      <c r="B3" s="7"/>
      <c r="C3" s="259"/>
      <c r="D3" s="426" t="s">
        <v>5</v>
      </c>
      <c r="E3" s="427"/>
      <c r="F3" s="425"/>
      <c r="G3" s="424"/>
      <c r="H3" s="427"/>
      <c r="I3" s="425"/>
      <c r="J3" s="424" t="s">
        <v>7</v>
      </c>
      <c r="K3" s="427"/>
      <c r="L3" s="425"/>
      <c r="M3" s="424" t="s">
        <v>210</v>
      </c>
      <c r="N3" s="425"/>
      <c r="O3" s="426" t="s">
        <v>8</v>
      </c>
      <c r="P3" s="427"/>
      <c r="Q3" s="425"/>
      <c r="R3" s="424" t="s">
        <v>211</v>
      </c>
      <c r="S3" s="425"/>
      <c r="T3" s="7"/>
      <c r="U3" s="6"/>
      <c r="V3" s="284" t="s">
        <v>272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220</v>
      </c>
      <c r="K4" s="9" t="s">
        <v>13</v>
      </c>
      <c r="L4" s="10" t="s">
        <v>12</v>
      </c>
      <c r="M4" s="11" t="s">
        <v>220</v>
      </c>
      <c r="N4" s="10" t="s">
        <v>12</v>
      </c>
      <c r="O4" s="11" t="s">
        <v>220</v>
      </c>
      <c r="P4" s="9" t="s">
        <v>13</v>
      </c>
      <c r="Q4" s="10" t="s">
        <v>12</v>
      </c>
      <c r="R4" s="11" t="s">
        <v>220</v>
      </c>
      <c r="S4" s="10" t="s">
        <v>12</v>
      </c>
      <c r="T4" s="7"/>
      <c r="U4" s="6"/>
      <c r="V4" s="284" t="s">
        <v>273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396" t="s">
        <v>274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/>
      <c r="J5" s="14"/>
      <c r="K5" s="30"/>
      <c r="L5" s="61">
        <v>7544009.919999999</v>
      </c>
      <c r="M5" s="17"/>
      <c r="N5" s="18"/>
      <c r="O5" s="14"/>
      <c r="P5" s="30"/>
      <c r="Q5" s="61">
        <v>11373984.830000006</v>
      </c>
      <c r="R5" s="17"/>
      <c r="S5" s="286"/>
      <c r="T5" s="7"/>
      <c r="U5" s="6"/>
      <c r="V5" s="284" t="s">
        <v>275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396" t="s">
        <v>276</v>
      </c>
      <c r="B6" s="7" t="s">
        <v>0</v>
      </c>
      <c r="C6" s="26" t="s">
        <v>15</v>
      </c>
      <c r="D6" s="19">
        <v>0</v>
      </c>
      <c r="E6" s="19">
        <f>IF(D6=0,0,F6/D6)</f>
        <v>0</v>
      </c>
      <c r="F6" s="19">
        <v>0</v>
      </c>
      <c r="G6" s="20"/>
      <c r="H6" s="19"/>
      <c r="I6" s="19"/>
      <c r="J6" s="20">
        <v>1</v>
      </c>
      <c r="K6" s="55">
        <f t="shared" ref="K6:K12" si="0">IF(J6=0,0,L6/J6)</f>
        <v>1519</v>
      </c>
      <c r="L6" s="39">
        <v>1519</v>
      </c>
      <c r="M6" s="20">
        <f t="shared" ref="M6:M12" si="1">J6-D6</f>
        <v>1</v>
      </c>
      <c r="N6" s="21">
        <f t="shared" ref="N6:N12" si="2">L6-F6</f>
        <v>1519</v>
      </c>
      <c r="O6" s="20">
        <v>0</v>
      </c>
      <c r="P6" s="55">
        <f t="shared" ref="P6:P12" si="3">IF(O6=0,0,Q6/O6)</f>
        <v>0</v>
      </c>
      <c r="Q6" s="39">
        <v>0</v>
      </c>
      <c r="R6" s="20">
        <f>J6-O6</f>
        <v>1</v>
      </c>
      <c r="S6" s="39">
        <f>L6-Q6</f>
        <v>1519</v>
      </c>
      <c r="T6" s="7"/>
      <c r="U6" s="6"/>
      <c r="V6" s="284" t="s">
        <v>277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396" t="s">
        <v>278</v>
      </c>
      <c r="B7" s="7" t="s">
        <v>0</v>
      </c>
      <c r="C7" s="26" t="s">
        <v>16</v>
      </c>
      <c r="D7" s="19">
        <v>0</v>
      </c>
      <c r="E7" s="19">
        <f t="shared" ref="E7:E12" si="4">IF(D7=0,0,F7/D7)</f>
        <v>0</v>
      </c>
      <c r="F7" s="19">
        <v>0</v>
      </c>
      <c r="G7" s="20"/>
      <c r="H7" s="19"/>
      <c r="I7" s="19"/>
      <c r="J7" s="20">
        <v>32</v>
      </c>
      <c r="K7" s="55">
        <f t="shared" si="0"/>
        <v>2924.1746875000063</v>
      </c>
      <c r="L7" s="39">
        <v>93573.5900000002</v>
      </c>
      <c r="M7" s="20">
        <f t="shared" si="1"/>
        <v>32</v>
      </c>
      <c r="N7" s="21">
        <f t="shared" si="2"/>
        <v>93573.5900000002</v>
      </c>
      <c r="O7" s="20">
        <v>59</v>
      </c>
      <c r="P7" s="55">
        <f t="shared" si="3"/>
        <v>3159.408983050881</v>
      </c>
      <c r="Q7" s="39">
        <v>186405.13000000198</v>
      </c>
      <c r="R7" s="20">
        <f>J7-O7</f>
        <v>-27</v>
      </c>
      <c r="S7" s="39">
        <f>L7-Q7</f>
        <v>-92831.540000001783</v>
      </c>
      <c r="T7" s="7"/>
      <c r="U7" s="6"/>
      <c r="V7" s="284" t="s">
        <v>279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396" t="s">
        <v>280</v>
      </c>
      <c r="B8" s="7" t="s">
        <v>0</v>
      </c>
      <c r="C8" s="26" t="s">
        <v>281</v>
      </c>
      <c r="D8" s="19">
        <v>0</v>
      </c>
      <c r="E8" s="19">
        <f t="shared" si="4"/>
        <v>0</v>
      </c>
      <c r="F8" s="19">
        <v>0</v>
      </c>
      <c r="G8" s="20"/>
      <c r="H8" s="19"/>
      <c r="I8" s="19"/>
      <c r="J8" s="20">
        <v>0</v>
      </c>
      <c r="K8" s="55">
        <f t="shared" si="0"/>
        <v>0</v>
      </c>
      <c r="L8" s="39">
        <v>0</v>
      </c>
      <c r="M8" s="20">
        <f t="shared" si="1"/>
        <v>0</v>
      </c>
      <c r="N8" s="21">
        <f t="shared" si="2"/>
        <v>0</v>
      </c>
      <c r="O8" s="20">
        <v>0</v>
      </c>
      <c r="P8" s="55">
        <f t="shared" si="3"/>
        <v>0</v>
      </c>
      <c r="Q8" s="39">
        <v>0</v>
      </c>
      <c r="R8" s="20">
        <f>J8-O8</f>
        <v>0</v>
      </c>
      <c r="S8" s="39">
        <f>L8-Q8</f>
        <v>0</v>
      </c>
      <c r="T8" s="7"/>
      <c r="U8" s="6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396" t="s">
        <v>282</v>
      </c>
      <c r="B9" s="7" t="s">
        <v>0</v>
      </c>
      <c r="C9" s="26" t="s">
        <v>283</v>
      </c>
      <c r="D9" s="19">
        <v>0</v>
      </c>
      <c r="E9" s="19">
        <f t="shared" si="4"/>
        <v>0</v>
      </c>
      <c r="F9" s="19">
        <v>0</v>
      </c>
      <c r="G9" s="20"/>
      <c r="H9" s="19"/>
      <c r="I9" s="19"/>
      <c r="J9" s="20">
        <v>21</v>
      </c>
      <c r="K9" s="55">
        <f t="shared" si="0"/>
        <v>1565.2623809523745</v>
      </c>
      <c r="L9" s="39">
        <v>32870.509999999864</v>
      </c>
      <c r="M9" s="20">
        <f t="shared" si="1"/>
        <v>21</v>
      </c>
      <c r="N9" s="21">
        <f t="shared" si="2"/>
        <v>32870.509999999864</v>
      </c>
      <c r="O9" s="20">
        <v>18</v>
      </c>
      <c r="P9" s="55">
        <f t="shared" si="3"/>
        <v>815.97444444439475</v>
      </c>
      <c r="Q9" s="39">
        <v>14687.539999999106</v>
      </c>
      <c r="R9" s="20">
        <f>J9-O9</f>
        <v>3</v>
      </c>
      <c r="S9" s="39">
        <f t="shared" ref="S9:S12" si="5">L9-Q9</f>
        <v>18182.970000000758</v>
      </c>
      <c r="T9" s="7"/>
      <c r="U9" s="6" t="s">
        <v>504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396" t="s">
        <v>284</v>
      </c>
      <c r="B10" s="7" t="s">
        <v>0</v>
      </c>
      <c r="C10" s="26" t="s">
        <v>19</v>
      </c>
      <c r="D10" s="19">
        <v>0</v>
      </c>
      <c r="E10" s="19">
        <f t="shared" si="4"/>
        <v>0</v>
      </c>
      <c r="F10" s="19">
        <v>0</v>
      </c>
      <c r="G10" s="20"/>
      <c r="H10" s="19"/>
      <c r="I10" s="19"/>
      <c r="J10" s="20">
        <v>0</v>
      </c>
      <c r="K10" s="55">
        <f t="shared" si="0"/>
        <v>0</v>
      </c>
      <c r="L10" s="39">
        <v>0</v>
      </c>
      <c r="M10" s="20">
        <f t="shared" si="1"/>
        <v>0</v>
      </c>
      <c r="N10" s="21">
        <f t="shared" si="2"/>
        <v>0</v>
      </c>
      <c r="O10" s="20">
        <v>0</v>
      </c>
      <c r="P10" s="55">
        <f t="shared" si="3"/>
        <v>0</v>
      </c>
      <c r="Q10" s="39">
        <v>0</v>
      </c>
      <c r="R10" s="20">
        <f t="shared" ref="R10:R12" si="6">J10-O10</f>
        <v>0</v>
      </c>
      <c r="S10" s="39">
        <f t="shared" si="5"/>
        <v>0</v>
      </c>
      <c r="T10" s="7"/>
      <c r="U10" s="6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396" t="s">
        <v>284</v>
      </c>
      <c r="B11" s="7" t="s">
        <v>0</v>
      </c>
      <c r="C11" s="26" t="s">
        <v>19</v>
      </c>
      <c r="D11" s="19">
        <v>0</v>
      </c>
      <c r="E11" s="19">
        <f t="shared" si="4"/>
        <v>0</v>
      </c>
      <c r="F11" s="19">
        <v>0</v>
      </c>
      <c r="G11" s="20"/>
      <c r="H11" s="19"/>
      <c r="I11" s="19"/>
      <c r="J11" s="20">
        <v>0</v>
      </c>
      <c r="K11" s="55">
        <f t="shared" si="0"/>
        <v>0</v>
      </c>
      <c r="L11" s="39">
        <v>0</v>
      </c>
      <c r="M11" s="20">
        <f t="shared" si="1"/>
        <v>0</v>
      </c>
      <c r="N11" s="21">
        <f t="shared" si="2"/>
        <v>0</v>
      </c>
      <c r="O11" s="20">
        <v>0</v>
      </c>
      <c r="P11" s="55">
        <f t="shared" si="3"/>
        <v>0</v>
      </c>
      <c r="Q11" s="39">
        <v>0</v>
      </c>
      <c r="R11" s="20">
        <f t="shared" si="6"/>
        <v>0</v>
      </c>
      <c r="S11" s="39">
        <f t="shared" si="5"/>
        <v>0</v>
      </c>
      <c r="T11" s="7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396" t="s">
        <v>284</v>
      </c>
      <c r="B12" s="7" t="s">
        <v>0</v>
      </c>
      <c r="C12" s="26" t="s">
        <v>19</v>
      </c>
      <c r="D12" s="19">
        <v>0</v>
      </c>
      <c r="E12" s="19">
        <f t="shared" si="4"/>
        <v>0</v>
      </c>
      <c r="F12" s="19">
        <v>0</v>
      </c>
      <c r="G12" s="20"/>
      <c r="H12" s="19"/>
      <c r="I12" s="19"/>
      <c r="J12" s="20">
        <v>0</v>
      </c>
      <c r="K12" s="55">
        <f t="shared" si="0"/>
        <v>0</v>
      </c>
      <c r="L12" s="39">
        <v>0</v>
      </c>
      <c r="M12" s="20">
        <f t="shared" si="1"/>
        <v>0</v>
      </c>
      <c r="N12" s="21">
        <f t="shared" si="2"/>
        <v>0</v>
      </c>
      <c r="O12" s="20">
        <v>0</v>
      </c>
      <c r="P12" s="55">
        <f t="shared" si="3"/>
        <v>0</v>
      </c>
      <c r="Q12" s="39">
        <v>0</v>
      </c>
      <c r="R12" s="20">
        <f t="shared" si="6"/>
        <v>0</v>
      </c>
      <c r="S12" s="39">
        <f t="shared" si="5"/>
        <v>0</v>
      </c>
      <c r="T12" s="7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396" t="s">
        <v>285</v>
      </c>
      <c r="B13" s="7" t="s">
        <v>0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/>
      <c r="H13" s="22"/>
      <c r="I13" s="23"/>
      <c r="J13" s="24">
        <f>+SUM(J6:J12)</f>
        <v>54</v>
      </c>
      <c r="K13" s="122">
        <f>IF(J13&lt;=0,0,L13/J13)</f>
        <v>2369.6870370370384</v>
      </c>
      <c r="L13" s="123">
        <f>+SUM(L6:L12)</f>
        <v>127963.10000000006</v>
      </c>
      <c r="M13" s="24">
        <f>+SUM(M6:M12)</f>
        <v>54</v>
      </c>
      <c r="N13" s="23">
        <f>+SUM(N6:N12)</f>
        <v>127963.10000000006</v>
      </c>
      <c r="O13" s="24">
        <f>+SUM(O6:O12)</f>
        <v>77</v>
      </c>
      <c r="P13" s="122">
        <f>IF(O13&lt;=0,0,Q13/O13)</f>
        <v>2611.5931168831312</v>
      </c>
      <c r="Q13" s="123">
        <f>+SUM(Q6:Q12)</f>
        <v>201092.67000000109</v>
      </c>
      <c r="R13" s="24">
        <f>+SUM(R6:R12)</f>
        <v>-23</v>
      </c>
      <c r="S13" s="123">
        <f>+SUM(S6:S12)</f>
        <v>-73129.570000001026</v>
      </c>
      <c r="T13" s="6">
        <v>54</v>
      </c>
      <c r="U13" s="397">
        <v>127963</v>
      </c>
      <c r="V13" s="398">
        <f>L13-U13</f>
        <v>0.10000000006402843</v>
      </c>
      <c r="W13" s="7"/>
      <c r="X13" s="7"/>
      <c r="Y13" s="7"/>
      <c r="Z13" s="7"/>
      <c r="AA13" s="7"/>
      <c r="AB13" s="7"/>
      <c r="AC13" s="7"/>
      <c r="AD13" s="55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396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>
        <f>R13/O13</f>
        <v>-0.29870129870129869</v>
      </c>
      <c r="S14" s="28">
        <f>IF(Q13=0,0,(S13/Q13))</f>
        <v>-0.36366104244376801</v>
      </c>
      <c r="T14" s="6"/>
      <c r="U14" s="397"/>
      <c r="V14" s="398"/>
      <c r="W14" s="19"/>
      <c r="X14" s="1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396" t="s">
        <v>286</v>
      </c>
      <c r="B15" s="7" t="s">
        <v>0</v>
      </c>
      <c r="C15" s="113" t="s">
        <v>21</v>
      </c>
      <c r="D15" s="33">
        <v>0</v>
      </c>
      <c r="E15" s="33">
        <f>IF(D15=0,0,F15/D15)</f>
        <v>0</v>
      </c>
      <c r="F15" s="90">
        <v>0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>
        <f>J15-D15</f>
        <v>0</v>
      </c>
      <c r="N15" s="31">
        <f>L15-F15</f>
        <v>0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6"/>
      <c r="U15" s="399"/>
      <c r="V15" s="398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396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6"/>
      <c r="U16" s="397"/>
      <c r="V16" s="398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396" t="s">
        <v>287</v>
      </c>
      <c r="B17" s="7" t="s">
        <v>0</v>
      </c>
      <c r="C17" s="52" t="s">
        <v>22</v>
      </c>
      <c r="D17" s="290">
        <v>0</v>
      </c>
      <c r="E17" s="290">
        <f>IF(D17=0,0,F17/D17)</f>
        <v>0</v>
      </c>
      <c r="F17" s="290">
        <v>0</v>
      </c>
      <c r="G17" s="38"/>
      <c r="H17" s="290"/>
      <c r="I17" s="290"/>
      <c r="J17" s="34">
        <v>58</v>
      </c>
      <c r="K17" s="55">
        <f>IF(J17=0,0,L17/J17)</f>
        <v>503.1441379310242</v>
      </c>
      <c r="L17" s="39">
        <v>29182.359999999404</v>
      </c>
      <c r="M17" s="34">
        <f>J17-D17</f>
        <v>58</v>
      </c>
      <c r="N17" s="21">
        <f>L17-F17</f>
        <v>29182.359999999404</v>
      </c>
      <c r="O17" s="34">
        <v>93</v>
      </c>
      <c r="P17" s="55">
        <f>IF(O17=0,0,Q17/O17)</f>
        <v>596.45913978505837</v>
      </c>
      <c r="Q17" s="39">
        <v>55470.700000010431</v>
      </c>
      <c r="R17" s="20">
        <f>J17-O17</f>
        <v>-35</v>
      </c>
      <c r="S17" s="39">
        <f>L17-Q17</f>
        <v>-26288.340000011027</v>
      </c>
      <c r="T17" s="6">
        <v>58</v>
      </c>
      <c r="U17" s="397">
        <v>27397</v>
      </c>
      <c r="V17" s="398">
        <f>L17-U17</f>
        <v>1785.359999999404</v>
      </c>
      <c r="W17" s="7"/>
      <c r="X17" s="7"/>
      <c r="Y17" s="7"/>
      <c r="Z17" s="7"/>
      <c r="AA17" s="19"/>
      <c r="AB17" s="7"/>
      <c r="AC17" s="7"/>
      <c r="AD17" s="55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396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397"/>
      <c r="V18" s="400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396" t="s">
        <v>288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7"/>
      <c r="U19" s="399"/>
      <c r="V19" s="400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396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397"/>
      <c r="V20" s="400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396" t="s">
        <v>289</v>
      </c>
      <c r="B21" s="7" t="s">
        <v>0</v>
      </c>
      <c r="C21" s="26" t="s">
        <v>24</v>
      </c>
      <c r="D21" s="19">
        <v>0</v>
      </c>
      <c r="E21" s="19">
        <f>IF(D21=0,0,F21/D21)</f>
        <v>0</v>
      </c>
      <c r="F21" s="19">
        <v>0</v>
      </c>
      <c r="G21" s="20"/>
      <c r="H21" s="19"/>
      <c r="I21" s="19"/>
      <c r="J21" s="20"/>
      <c r="K21" s="55">
        <f>IF(J13=0,0,L21/(J13+J15))</f>
        <v>18.518518518518519</v>
      </c>
      <c r="L21" s="39">
        <v>1000</v>
      </c>
      <c r="M21" s="20"/>
      <c r="N21" s="21">
        <f>L21-F21</f>
        <v>1000</v>
      </c>
      <c r="O21" s="20"/>
      <c r="P21" s="55">
        <f>IF(O13=0,0,Q21/(O13+O15))</f>
        <v>21.425454545454549</v>
      </c>
      <c r="Q21" s="39">
        <v>1649.7600000000002</v>
      </c>
      <c r="R21" s="40">
        <f>P21-K21</f>
        <v>2.9069360269360303</v>
      </c>
      <c r="S21" s="39">
        <f t="shared" ref="S21:S23" si="7">L21-Q21</f>
        <v>-649.76000000000022</v>
      </c>
      <c r="T21" s="7"/>
      <c r="U21" s="397"/>
      <c r="V21" s="400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396" t="s">
        <v>290</v>
      </c>
      <c r="B22" s="7" t="s">
        <v>0</v>
      </c>
      <c r="C22" s="26" t="s">
        <v>25</v>
      </c>
      <c r="D22" s="19">
        <v>0</v>
      </c>
      <c r="E22" s="19">
        <f>IF(D22=0,0,F22/D22)</f>
        <v>0</v>
      </c>
      <c r="F22" s="19">
        <v>0</v>
      </c>
      <c r="G22" s="20"/>
      <c r="H22" s="19"/>
      <c r="I22" s="19"/>
      <c r="J22" s="20"/>
      <c r="K22" s="55">
        <f>IF(J13=0,0,L22/(J13+J15))</f>
        <v>576.52907407407372</v>
      </c>
      <c r="L22" s="39">
        <v>31132.569999999978</v>
      </c>
      <c r="M22" s="20"/>
      <c r="N22" s="21">
        <f>L22-F22</f>
        <v>31132.569999999978</v>
      </c>
      <c r="O22" s="20"/>
      <c r="P22" s="55">
        <f>IF(O13=0,0,Q22/(O13+O15))</f>
        <v>572.09402597402607</v>
      </c>
      <c r="Q22" s="39">
        <v>44051.240000000005</v>
      </c>
      <c r="R22" s="40">
        <f t="shared" ref="R22:R23" si="8">P22-K22</f>
        <v>-4.435048100047652</v>
      </c>
      <c r="S22" s="39">
        <f t="shared" si="7"/>
        <v>-12918.670000000027</v>
      </c>
      <c r="T22" s="7"/>
      <c r="U22" s="397"/>
      <c r="V22" s="398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396" t="s">
        <v>291</v>
      </c>
      <c r="B23" s="7" t="s">
        <v>0</v>
      </c>
      <c r="C23" s="26" t="s">
        <v>26</v>
      </c>
      <c r="D23" s="19">
        <v>0</v>
      </c>
      <c r="E23" s="19">
        <f>IF(D23=0,0,F23/D23)</f>
        <v>0</v>
      </c>
      <c r="F23" s="19">
        <v>0</v>
      </c>
      <c r="G23" s="20"/>
      <c r="H23" s="19"/>
      <c r="I23" s="19"/>
      <c r="J23" s="20"/>
      <c r="K23" s="55">
        <f>IF(J13=0,0,L23/(J13+J15))</f>
        <v>113.67499999999998</v>
      </c>
      <c r="L23" s="39">
        <v>6138.4499999999989</v>
      </c>
      <c r="M23" s="34"/>
      <c r="N23" s="21">
        <f>L23-F23</f>
        <v>6138.4499999999989</v>
      </c>
      <c r="O23" s="20"/>
      <c r="P23" s="55">
        <f>IF(O13=0,0,Q23/(O13+O15))</f>
        <v>106.58441558441558</v>
      </c>
      <c r="Q23" s="39">
        <v>8207</v>
      </c>
      <c r="R23" s="40">
        <f t="shared" si="8"/>
        <v>-7.0905844155844022</v>
      </c>
      <c r="S23" s="39">
        <f t="shared" si="7"/>
        <v>-2068.5500000000011</v>
      </c>
      <c r="T23" s="7"/>
      <c r="U23" s="397"/>
      <c r="V23" s="398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396" t="s">
        <v>292</v>
      </c>
      <c r="B24" s="7" t="s">
        <v>0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/>
      <c r="H24" s="22"/>
      <c r="I24" s="23"/>
      <c r="J24" s="24">
        <f>+J15+J13</f>
        <v>54</v>
      </c>
      <c r="K24" s="122">
        <f>IF(J24&lt;=0,0,L24/J24)</f>
        <v>708.72259259259215</v>
      </c>
      <c r="L24" s="123">
        <f>L21+L22+L23</f>
        <v>38271.019999999975</v>
      </c>
      <c r="M24" s="38">
        <f>J24-D24</f>
        <v>54</v>
      </c>
      <c r="N24" s="23">
        <f>L24-F24</f>
        <v>38271.019999999975</v>
      </c>
      <c r="O24" s="24">
        <f>+O15+O13</f>
        <v>77</v>
      </c>
      <c r="P24" s="122">
        <f>IF(O24&lt;=0,0,Q24/O24)</f>
        <v>700.1038961038962</v>
      </c>
      <c r="Q24" s="123">
        <f>Q21+Q22+Q23</f>
        <v>53908.000000000007</v>
      </c>
      <c r="R24" s="106">
        <f>P24-K24</f>
        <v>-8.6186964886959458</v>
      </c>
      <c r="S24" s="123">
        <f>L24-Q24</f>
        <v>-15636.980000000032</v>
      </c>
      <c r="T24" s="7"/>
      <c r="U24" s="397">
        <v>38271</v>
      </c>
      <c r="V24" s="398">
        <f>L24-U24</f>
        <v>1.9999999974970706E-2</v>
      </c>
      <c r="W24" s="7"/>
      <c r="X24" s="7"/>
      <c r="Y24" s="7"/>
      <c r="Z24" s="7"/>
      <c r="AA24" s="7"/>
      <c r="AB24" s="7"/>
      <c r="AC24" s="7"/>
      <c r="AD24" s="55"/>
      <c r="AE24" s="55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396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-0.2900678934480973</v>
      </c>
      <c r="T25" s="7"/>
      <c r="U25" s="397"/>
      <c r="V25" s="398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396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397"/>
      <c r="V26" s="398"/>
      <c r="W26" s="7"/>
      <c r="X26" s="7"/>
      <c r="Y26" s="7"/>
      <c r="Z26" s="7"/>
      <c r="AA26" s="7"/>
      <c r="AB26" s="7"/>
      <c r="AC26" s="7"/>
      <c r="AD26" s="55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396" t="s">
        <v>293</v>
      </c>
      <c r="B27" s="7" t="s">
        <v>0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/>
      <c r="H27" s="42"/>
      <c r="I27" s="43"/>
      <c r="J27" s="44">
        <f>+J13+J15+J17</f>
        <v>112</v>
      </c>
      <c r="K27" s="41">
        <f>IF(J27&lt;=0,0,L27/J27)</f>
        <v>1744.7899999999952</v>
      </c>
      <c r="L27" s="43">
        <f>L13+L17+L24+L19+L15</f>
        <v>195416.47999999946</v>
      </c>
      <c r="M27" s="44">
        <f>J27-D27</f>
        <v>112</v>
      </c>
      <c r="N27" s="43">
        <f>L27-F27</f>
        <v>195416.47999999946</v>
      </c>
      <c r="O27" s="44">
        <f>+O13+O15+O17</f>
        <v>170</v>
      </c>
      <c r="P27" s="41">
        <f>IF(O27&lt;=0,0,Q27/O27)</f>
        <v>1826.3021764706559</v>
      </c>
      <c r="Q27" s="43">
        <f>Q13+Q17+Q24+Q19+Q15</f>
        <v>310471.37000001152</v>
      </c>
      <c r="R27" s="44">
        <f>J27-O27</f>
        <v>-58</v>
      </c>
      <c r="S27" s="43">
        <f>L27-Q27</f>
        <v>-115054.89000001206</v>
      </c>
      <c r="T27" s="7"/>
      <c r="U27" s="397">
        <f>SUM(U13:U26)</f>
        <v>193631</v>
      </c>
      <c r="V27" s="398">
        <f>L27-U27</f>
        <v>1785.4799999994575</v>
      </c>
      <c r="W27" s="7"/>
      <c r="X27" s="7"/>
      <c r="Y27" s="7"/>
      <c r="Z27" s="7"/>
      <c r="AA27" s="7"/>
      <c r="AB27" s="7"/>
      <c r="AC27" s="7"/>
      <c r="AD27" s="55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396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>
        <f>R27/O27</f>
        <v>-0.3411764705882353</v>
      </c>
      <c r="S28" s="267">
        <f>IF(Q27=0,0,S27/Q27)</f>
        <v>-0.37058131962379587</v>
      </c>
      <c r="T28" s="7"/>
      <c r="U28" s="6"/>
      <c r="V28" s="401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396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9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396" t="s">
        <v>294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20.25">
      <c r="A31" s="396" t="s">
        <v>295</v>
      </c>
      <c r="B31" s="7" t="s">
        <v>0</v>
      </c>
      <c r="C31" s="26" t="s">
        <v>30</v>
      </c>
      <c r="D31" s="295" t="e">
        <f>F31/(F13+F15)</f>
        <v>#DIV/0!</v>
      </c>
      <c r="E31" s="55" t="e">
        <f t="shared" ref="E31:E40" si="9">F31/D$24</f>
        <v>#DIV/0!</v>
      </c>
      <c r="F31" s="19">
        <v>0</v>
      </c>
      <c r="G31" s="99"/>
      <c r="H31" s="55"/>
      <c r="I31" s="19"/>
      <c r="J31" s="99">
        <f>L31/(L15+L13+L17)</f>
        <v>0.2711833354905715</v>
      </c>
      <c r="K31" s="55">
        <f>IF(L31=0,0,L31/J$24)</f>
        <v>789.17092592592667</v>
      </c>
      <c r="L31" s="39">
        <v>42615.23000000004</v>
      </c>
      <c r="M31" s="26"/>
      <c r="N31" s="39">
        <f t="shared" ref="N31:N53" si="10">L31-F31</f>
        <v>42615.23000000004</v>
      </c>
      <c r="O31" s="99">
        <f>Q31/(Q15+Q13+Q17)</f>
        <v>0.22474852898914371</v>
      </c>
      <c r="P31" s="55">
        <f>IF(Q31=0,0,Q31/O$24)</f>
        <v>748.86025974025961</v>
      </c>
      <c r="Q31" s="39">
        <v>57662.239999999991</v>
      </c>
      <c r="R31" s="26"/>
      <c r="S31" s="39">
        <f>L31-Q31</f>
        <v>-15047.009999999951</v>
      </c>
      <c r="T31" s="7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396" t="s">
        <v>296</v>
      </c>
      <c r="B32" s="7" t="s">
        <v>0</v>
      </c>
      <c r="C32" s="14" t="s">
        <v>31</v>
      </c>
      <c r="D32" s="296" t="e">
        <f>F32/F24</f>
        <v>#DIV/0!</v>
      </c>
      <c r="E32" s="58" t="e">
        <f t="shared" si="9"/>
        <v>#DIV/0!</v>
      </c>
      <c r="F32" s="31">
        <v>0</v>
      </c>
      <c r="G32" s="104"/>
      <c r="H32" s="58"/>
      <c r="I32" s="31"/>
      <c r="J32" s="104">
        <f>L32/L24</f>
        <v>0.32469947234225821</v>
      </c>
      <c r="K32" s="58">
        <f t="shared" ref="K32:K40" si="11">IF(L32=0,0,L32/J$24)</f>
        <v>230.12185185185189</v>
      </c>
      <c r="L32" s="39">
        <v>12426.580000000002</v>
      </c>
      <c r="M32" s="14"/>
      <c r="N32" s="61">
        <f t="shared" si="10"/>
        <v>12426.580000000002</v>
      </c>
      <c r="O32" s="104">
        <f>Q32/Q24</f>
        <v>0.22351728871410567</v>
      </c>
      <c r="P32" s="58">
        <f t="shared" ref="P32:P40" si="12">IF(Q32=0,0,Q32/O$24)</f>
        <v>156.48532467532479</v>
      </c>
      <c r="Q32" s="61">
        <v>12049.37000000001</v>
      </c>
      <c r="R32" s="14"/>
      <c r="S32" s="61">
        <f t="shared" ref="S32:S53" si="13">L32-Q32</f>
        <v>377.20999999999185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396" t="s">
        <v>297</v>
      </c>
      <c r="B33" s="7" t="s">
        <v>0</v>
      </c>
      <c r="C33" s="26" t="s">
        <v>32</v>
      </c>
      <c r="D33" s="54"/>
      <c r="E33" s="55" t="e">
        <f t="shared" si="9"/>
        <v>#DIV/0!</v>
      </c>
      <c r="F33" s="19">
        <v>0</v>
      </c>
      <c r="G33" s="56"/>
      <c r="H33" s="55"/>
      <c r="I33" s="19"/>
      <c r="J33" s="26"/>
      <c r="K33" s="55">
        <f t="shared" si="11"/>
        <v>1001.7337037037037</v>
      </c>
      <c r="L33" s="297">
        <v>54093.619999999995</v>
      </c>
      <c r="M33" s="26"/>
      <c r="N33" s="39">
        <f t="shared" si="10"/>
        <v>54093.619999999995</v>
      </c>
      <c r="O33" s="26"/>
      <c r="P33" s="55">
        <f t="shared" si="12"/>
        <v>-204.8155844155844</v>
      </c>
      <c r="Q33" s="39">
        <v>-15770.8</v>
      </c>
      <c r="R33" s="26"/>
      <c r="S33" s="39">
        <f t="shared" si="13"/>
        <v>69864.42</v>
      </c>
      <c r="T33" s="7"/>
      <c r="U33" s="384" t="s">
        <v>499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396" t="s">
        <v>298</v>
      </c>
      <c r="B34" s="7" t="s">
        <v>0</v>
      </c>
      <c r="C34" s="26" t="s">
        <v>33</v>
      </c>
      <c r="D34" s="54"/>
      <c r="E34" s="55" t="e">
        <f t="shared" si="9"/>
        <v>#DIV/0!</v>
      </c>
      <c r="F34" s="19">
        <v>0</v>
      </c>
      <c r="G34" s="56"/>
      <c r="H34" s="55"/>
      <c r="I34" s="19"/>
      <c r="J34" s="26"/>
      <c r="K34" s="55">
        <f t="shared" si="11"/>
        <v>18.559629629629633</v>
      </c>
      <c r="L34" s="39">
        <v>1002.2200000000003</v>
      </c>
      <c r="M34" s="26"/>
      <c r="N34" s="39">
        <f t="shared" si="10"/>
        <v>1002.2200000000003</v>
      </c>
      <c r="O34" s="26"/>
      <c r="P34" s="55">
        <f t="shared" si="12"/>
        <v>8.7010389610389609</v>
      </c>
      <c r="Q34" s="39">
        <v>669.98</v>
      </c>
      <c r="R34" s="26"/>
      <c r="S34" s="39">
        <f t="shared" si="13"/>
        <v>332.24000000000024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396" t="s">
        <v>299</v>
      </c>
      <c r="B35" s="7" t="s">
        <v>0</v>
      </c>
      <c r="C35" s="14" t="s">
        <v>34</v>
      </c>
      <c r="D35" s="57"/>
      <c r="E35" s="58" t="e">
        <f t="shared" si="9"/>
        <v>#DIV/0!</v>
      </c>
      <c r="F35" s="31">
        <v>0</v>
      </c>
      <c r="G35" s="59"/>
      <c r="H35" s="58"/>
      <c r="I35" s="31"/>
      <c r="J35" s="14"/>
      <c r="K35" s="58">
        <f t="shared" si="11"/>
        <v>92.806111111111107</v>
      </c>
      <c r="L35" s="39">
        <v>5011.53</v>
      </c>
      <c r="M35" s="14"/>
      <c r="N35" s="61">
        <f t="shared" si="10"/>
        <v>5011.53</v>
      </c>
      <c r="O35" s="14"/>
      <c r="P35" s="58">
        <f t="shared" si="12"/>
        <v>0</v>
      </c>
      <c r="Q35" s="61">
        <v>0</v>
      </c>
      <c r="R35" s="14"/>
      <c r="S35" s="61">
        <f t="shared" si="13"/>
        <v>5011.53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396" t="s">
        <v>300</v>
      </c>
      <c r="B36" s="7" t="s">
        <v>0</v>
      </c>
      <c r="C36" s="26" t="s">
        <v>35</v>
      </c>
      <c r="D36" s="54"/>
      <c r="E36" s="55" t="e">
        <f t="shared" si="9"/>
        <v>#DIV/0!</v>
      </c>
      <c r="F36" s="19">
        <v>0</v>
      </c>
      <c r="G36" s="56"/>
      <c r="H36" s="55"/>
      <c r="I36" s="19"/>
      <c r="J36" s="26"/>
      <c r="K36" s="55">
        <f t="shared" si="11"/>
        <v>277.72907407407416</v>
      </c>
      <c r="L36" s="297">
        <v>14997.370000000006</v>
      </c>
      <c r="M36" s="26"/>
      <c r="N36" s="39">
        <f t="shared" si="10"/>
        <v>14997.370000000006</v>
      </c>
      <c r="O36" s="26"/>
      <c r="P36" s="55">
        <f t="shared" si="12"/>
        <v>241.33805194805197</v>
      </c>
      <c r="Q36" s="39">
        <v>18583.030000000002</v>
      </c>
      <c r="R36" s="26"/>
      <c r="S36" s="39">
        <f t="shared" si="13"/>
        <v>-3585.6599999999962</v>
      </c>
      <c r="T36" s="7"/>
      <c r="U36" s="391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396" t="s">
        <v>301</v>
      </c>
      <c r="B37" s="7" t="s">
        <v>0</v>
      </c>
      <c r="C37" s="26" t="s">
        <v>36</v>
      </c>
      <c r="D37" s="54"/>
      <c r="E37" s="55" t="e">
        <f t="shared" si="9"/>
        <v>#DIV/0!</v>
      </c>
      <c r="F37" s="19">
        <v>0</v>
      </c>
      <c r="G37" s="56"/>
      <c r="H37" s="55"/>
      <c r="I37" s="19"/>
      <c r="J37" s="26"/>
      <c r="K37" s="55">
        <f t="shared" si="11"/>
        <v>1041.1037037037033</v>
      </c>
      <c r="L37" s="39">
        <v>56219.599999999977</v>
      </c>
      <c r="M37" s="26"/>
      <c r="N37" s="39">
        <f t="shared" si="10"/>
        <v>56219.599999999977</v>
      </c>
      <c r="O37" s="26"/>
      <c r="P37" s="55">
        <f t="shared" si="12"/>
        <v>824.55675324675315</v>
      </c>
      <c r="Q37" s="39">
        <v>63490.869999999995</v>
      </c>
      <c r="R37" s="26"/>
      <c r="S37" s="39">
        <f t="shared" si="13"/>
        <v>-7271.2700000000186</v>
      </c>
      <c r="T37" s="382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396" t="s">
        <v>284</v>
      </c>
      <c r="B38" s="7" t="s">
        <v>0</v>
      </c>
      <c r="C38" s="26" t="s">
        <v>302</v>
      </c>
      <c r="D38" s="54"/>
      <c r="E38" s="55" t="e">
        <f t="shared" si="9"/>
        <v>#DIV/0!</v>
      </c>
      <c r="F38" s="19">
        <v>0</v>
      </c>
      <c r="G38" s="56"/>
      <c r="H38" s="55"/>
      <c r="I38" s="19"/>
      <c r="J38" s="26"/>
      <c r="K38" s="55">
        <f t="shared" si="11"/>
        <v>-2437.6988888888886</v>
      </c>
      <c r="L38" s="39">
        <v>-131635.74</v>
      </c>
      <c r="M38" s="7"/>
      <c r="N38" s="39">
        <f t="shared" si="10"/>
        <v>-131635.74</v>
      </c>
      <c r="O38" s="26"/>
      <c r="P38" s="55">
        <f t="shared" si="12"/>
        <v>-1524.5636363636381</v>
      </c>
      <c r="Q38" s="39">
        <v>-117391.40000000014</v>
      </c>
      <c r="R38" s="26"/>
      <c r="S38" s="39">
        <f t="shared" si="13"/>
        <v>-14244.339999999851</v>
      </c>
      <c r="T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396" t="s">
        <v>284</v>
      </c>
      <c r="B39" s="7" t="s">
        <v>0</v>
      </c>
      <c r="C39" s="26" t="s">
        <v>303</v>
      </c>
      <c r="D39" s="54"/>
      <c r="E39" s="55" t="e">
        <f t="shared" si="9"/>
        <v>#DIV/0!</v>
      </c>
      <c r="F39" s="19">
        <v>0</v>
      </c>
      <c r="G39" s="56"/>
      <c r="H39" s="55"/>
      <c r="I39" s="19"/>
      <c r="J39" s="26"/>
      <c r="K39" s="55">
        <f t="shared" si="11"/>
        <v>-208.49851851851849</v>
      </c>
      <c r="L39" s="39">
        <v>-11258.919999999998</v>
      </c>
      <c r="M39" s="7"/>
      <c r="N39" s="39">
        <f t="shared" si="10"/>
        <v>-11258.919999999998</v>
      </c>
      <c r="O39" s="26"/>
      <c r="P39" s="55">
        <f t="shared" si="12"/>
        <v>0</v>
      </c>
      <c r="Q39" s="39">
        <v>0</v>
      </c>
      <c r="R39" s="26"/>
      <c r="S39" s="39">
        <f t="shared" si="13"/>
        <v>-11258.919999999998</v>
      </c>
      <c r="T39" s="6">
        <v>-11259</v>
      </c>
      <c r="U39" s="402">
        <f>L39+L121+L194</f>
        <v>-16826.179999999997</v>
      </c>
      <c r="V39" s="6" t="s">
        <v>505</v>
      </c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396" t="s">
        <v>284</v>
      </c>
      <c r="B40" s="7" t="s">
        <v>0</v>
      </c>
      <c r="C40" s="26" t="s">
        <v>19</v>
      </c>
      <c r="D40" s="54"/>
      <c r="E40" s="55" t="e">
        <f t="shared" si="9"/>
        <v>#DIV/0!</v>
      </c>
      <c r="F40" s="19">
        <v>0</v>
      </c>
      <c r="G40" s="56"/>
      <c r="H40" s="55"/>
      <c r="I40" s="19"/>
      <c r="J40" s="26"/>
      <c r="K40" s="55">
        <f t="shared" si="11"/>
        <v>0</v>
      </c>
      <c r="L40" s="299">
        <v>0</v>
      </c>
      <c r="M40" s="7"/>
      <c r="N40" s="39">
        <f t="shared" si="10"/>
        <v>0</v>
      </c>
      <c r="O40" s="26"/>
      <c r="P40" s="55">
        <f t="shared" si="12"/>
        <v>0</v>
      </c>
      <c r="Q40" s="299">
        <v>0</v>
      </c>
      <c r="R40" s="26"/>
      <c r="S40" s="39">
        <f t="shared" si="13"/>
        <v>0</v>
      </c>
      <c r="T40" s="7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396" t="s">
        <v>304</v>
      </c>
      <c r="B41" s="7" t="s">
        <v>0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/>
      <c r="H41" s="63"/>
      <c r="I41" s="64"/>
      <c r="J41" s="65" t="s">
        <v>38</v>
      </c>
      <c r="K41" s="63">
        <f>L41/L$27</f>
        <v>0.22245559842240611</v>
      </c>
      <c r="L41" s="64">
        <f>SUM(L31:L40)</f>
        <v>43471.490000000034</v>
      </c>
      <c r="M41" s="66"/>
      <c r="N41" s="64">
        <f t="shared" si="10"/>
        <v>43471.490000000034</v>
      </c>
      <c r="O41" s="65" t="s">
        <v>38</v>
      </c>
      <c r="P41" s="63">
        <f>Q41/Q$27</f>
        <v>6.21419295440966E-2</v>
      </c>
      <c r="Q41" s="64">
        <f>SUM(Q31:Q40)</f>
        <v>19293.289999999863</v>
      </c>
      <c r="R41" s="67"/>
      <c r="S41" s="64">
        <f t="shared" si="13"/>
        <v>24178.200000000172</v>
      </c>
      <c r="T41" s="7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396" t="s">
        <v>305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/>
      <c r="J42" s="26"/>
      <c r="K42" s="7"/>
      <c r="L42" s="55">
        <v>15176.400000000009</v>
      </c>
      <c r="M42" s="26"/>
      <c r="N42" s="39">
        <f t="shared" si="10"/>
        <v>15176.400000000009</v>
      </c>
      <c r="O42" s="26"/>
      <c r="P42" s="7"/>
      <c r="Q42" s="55">
        <v>9257.4600000000064</v>
      </c>
      <c r="R42" s="26"/>
      <c r="S42" s="39">
        <f t="shared" si="13"/>
        <v>5918.9400000000023</v>
      </c>
      <c r="T42" s="7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396" t="s">
        <v>306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/>
      <c r="J43" s="26"/>
      <c r="K43" s="7"/>
      <c r="L43" s="61">
        <v>10229.26999999999</v>
      </c>
      <c r="M43" s="26"/>
      <c r="N43" s="39">
        <f t="shared" si="10"/>
        <v>10229.26999999999</v>
      </c>
      <c r="O43" s="26"/>
      <c r="P43" s="7"/>
      <c r="Q43" s="61">
        <v>27701.049999999988</v>
      </c>
      <c r="R43" s="26"/>
      <c r="S43" s="39">
        <f t="shared" si="13"/>
        <v>-17471.78</v>
      </c>
      <c r="T43" s="7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396" t="s">
        <v>307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/>
      <c r="J44" s="71"/>
      <c r="K44" s="69"/>
      <c r="L44" s="55">
        <v>6239.0799999999981</v>
      </c>
      <c r="M44" s="71"/>
      <c r="N44" s="72">
        <f t="shared" si="10"/>
        <v>6239.0799999999981</v>
      </c>
      <c r="O44" s="71"/>
      <c r="P44" s="69"/>
      <c r="Q44" s="55">
        <v>4057.0300000000025</v>
      </c>
      <c r="R44" s="71"/>
      <c r="S44" s="72">
        <f t="shared" si="13"/>
        <v>2182.0499999999956</v>
      </c>
      <c r="T44" s="7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396" t="s">
        <v>308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/>
      <c r="J45" s="26"/>
      <c r="K45" s="7"/>
      <c r="L45" s="55">
        <v>0</v>
      </c>
      <c r="M45" s="26"/>
      <c r="N45" s="39">
        <f t="shared" si="10"/>
        <v>0</v>
      </c>
      <c r="O45" s="26"/>
      <c r="P45" s="7"/>
      <c r="Q45" s="55">
        <v>0</v>
      </c>
      <c r="R45" s="26"/>
      <c r="S45" s="39">
        <f t="shared" si="13"/>
        <v>0</v>
      </c>
      <c r="T45" s="7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396" t="s">
        <v>284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/>
      <c r="J46" s="26"/>
      <c r="K46" s="7"/>
      <c r="L46" s="55">
        <v>0</v>
      </c>
      <c r="M46" s="26"/>
      <c r="N46" s="39">
        <f t="shared" si="10"/>
        <v>0</v>
      </c>
      <c r="O46" s="26"/>
      <c r="P46" s="7"/>
      <c r="Q46" s="55">
        <v>0</v>
      </c>
      <c r="R46" s="26"/>
      <c r="S46" s="39">
        <f t="shared" si="13"/>
        <v>0</v>
      </c>
      <c r="T46" s="7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396" t="s">
        <v>284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/>
      <c r="J47" s="26"/>
      <c r="K47" s="7"/>
      <c r="L47" s="55">
        <v>0</v>
      </c>
      <c r="M47" s="26"/>
      <c r="N47" s="39">
        <f t="shared" si="10"/>
        <v>0</v>
      </c>
      <c r="O47" s="26"/>
      <c r="P47" s="7"/>
      <c r="Q47" s="55">
        <v>0</v>
      </c>
      <c r="R47" s="26"/>
      <c r="S47" s="39">
        <f t="shared" si="13"/>
        <v>0</v>
      </c>
      <c r="T47" s="7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396" t="s">
        <v>284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/>
      <c r="J48" s="26"/>
      <c r="K48" s="7"/>
      <c r="L48" s="55">
        <v>0</v>
      </c>
      <c r="M48" s="26"/>
      <c r="N48" s="39">
        <f t="shared" si="10"/>
        <v>0</v>
      </c>
      <c r="O48" s="26"/>
      <c r="P48" s="7"/>
      <c r="Q48" s="55">
        <v>0</v>
      </c>
      <c r="R48" s="26"/>
      <c r="S48" s="39">
        <f t="shared" si="13"/>
        <v>0</v>
      </c>
      <c r="T48" s="7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396" t="s">
        <v>309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/>
      <c r="J49" s="26"/>
      <c r="K49" s="7"/>
      <c r="L49" s="61">
        <v>6409.739999999998</v>
      </c>
      <c r="M49" s="26"/>
      <c r="N49" s="39">
        <f t="shared" si="10"/>
        <v>6409.739999999998</v>
      </c>
      <c r="O49" s="26"/>
      <c r="P49" s="7"/>
      <c r="Q49" s="61">
        <v>18093.270000000004</v>
      </c>
      <c r="R49" s="26"/>
      <c r="S49" s="39">
        <f t="shared" si="13"/>
        <v>-11683.530000000006</v>
      </c>
      <c r="T49" s="7"/>
      <c r="U49" s="6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396" t="s">
        <v>310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/>
      <c r="J50" s="71"/>
      <c r="K50" s="69"/>
      <c r="L50" s="55">
        <v>10332.880000000005</v>
      </c>
      <c r="M50" s="71"/>
      <c r="N50" s="72">
        <f t="shared" si="10"/>
        <v>10332.880000000005</v>
      </c>
      <c r="O50" s="71"/>
      <c r="P50" s="69"/>
      <c r="Q50" s="55">
        <v>19782.369999999995</v>
      </c>
      <c r="R50" s="71"/>
      <c r="S50" s="72">
        <f t="shared" si="13"/>
        <v>-9449.4899999999907</v>
      </c>
      <c r="T50" s="7"/>
      <c r="U50" s="6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396" t="s">
        <v>311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/>
      <c r="J51" s="26"/>
      <c r="K51" s="7"/>
      <c r="L51" s="55">
        <v>1310.9099999999999</v>
      </c>
      <c r="M51" s="26"/>
      <c r="N51" s="39">
        <f t="shared" si="10"/>
        <v>1310.9099999999999</v>
      </c>
      <c r="O51" s="26"/>
      <c r="P51" s="7"/>
      <c r="Q51" s="55">
        <v>3563.3799999999974</v>
      </c>
      <c r="R51" s="26"/>
      <c r="S51" s="39">
        <f t="shared" si="13"/>
        <v>-2252.4699999999975</v>
      </c>
      <c r="T51" s="7"/>
      <c r="U51" s="6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396" t="s">
        <v>312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/>
      <c r="J52" s="26"/>
      <c r="K52" s="7"/>
      <c r="L52" s="55">
        <v>2914.4500000000007</v>
      </c>
      <c r="M52" s="26"/>
      <c r="N52" s="39">
        <f t="shared" si="10"/>
        <v>2914.4500000000007</v>
      </c>
      <c r="O52" s="26"/>
      <c r="P52" s="7"/>
      <c r="Q52" s="55">
        <v>11.850000000000023</v>
      </c>
      <c r="R52" s="26"/>
      <c r="S52" s="39">
        <f t="shared" si="13"/>
        <v>2902.6000000000008</v>
      </c>
      <c r="T52" s="7"/>
      <c r="U52" s="6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396" t="s">
        <v>284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>
        <v>0</v>
      </c>
      <c r="G53" s="59"/>
      <c r="H53" s="73"/>
      <c r="I53" s="19"/>
      <c r="J53" s="14"/>
      <c r="K53" s="73"/>
      <c r="L53" s="39">
        <v>0</v>
      </c>
      <c r="M53" s="14"/>
      <c r="N53" s="61">
        <f t="shared" si="10"/>
        <v>0</v>
      </c>
      <c r="O53" s="14"/>
      <c r="P53" s="73"/>
      <c r="Q53" s="39">
        <v>0</v>
      </c>
      <c r="R53" s="14"/>
      <c r="S53" s="61">
        <f t="shared" si="13"/>
        <v>0</v>
      </c>
      <c r="T53" s="7"/>
      <c r="U53" s="6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396" t="s">
        <v>313</v>
      </c>
      <c r="B54" s="7" t="s">
        <v>0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/>
      <c r="H54" s="63"/>
      <c r="I54" s="64"/>
      <c r="J54" s="65" t="s">
        <v>38</v>
      </c>
      <c r="K54" s="63">
        <f>L54/L$27</f>
        <v>0.26923384353254209</v>
      </c>
      <c r="L54" s="64">
        <f>+SUM(L42:L53)</f>
        <v>52612.729999999996</v>
      </c>
      <c r="M54" s="66"/>
      <c r="N54" s="64">
        <f>+SUM(N42:N53)</f>
        <v>52612.729999999996</v>
      </c>
      <c r="O54" s="65" t="s">
        <v>38</v>
      </c>
      <c r="P54" s="63">
        <f>Q54/Q$27</f>
        <v>0.26561679423129075</v>
      </c>
      <c r="Q54" s="64">
        <f>+SUM(Q42:Q53)</f>
        <v>82466.41</v>
      </c>
      <c r="R54" s="67"/>
      <c r="S54" s="64">
        <f>+SUM(S42:S53)</f>
        <v>-29853.679999999993</v>
      </c>
      <c r="T54" s="7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396" t="s">
        <v>314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/>
      <c r="J55" s="26"/>
      <c r="K55" s="7"/>
      <c r="L55" s="39">
        <v>0</v>
      </c>
      <c r="M55" s="26"/>
      <c r="N55" s="39">
        <f t="shared" ref="N55:N71" si="14">L55-F55</f>
        <v>0</v>
      </c>
      <c r="O55" s="26"/>
      <c r="P55" s="7"/>
      <c r="Q55" s="39">
        <v>0</v>
      </c>
      <c r="R55" s="26"/>
      <c r="S55" s="39">
        <f t="shared" ref="S55:S71" si="15">L55-Q55</f>
        <v>0</v>
      </c>
      <c r="T55" s="55"/>
      <c r="U55" s="6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396" t="s">
        <v>315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/>
      <c r="J56" s="26"/>
      <c r="K56" s="7"/>
      <c r="L56" s="39">
        <v>0</v>
      </c>
      <c r="M56" s="26"/>
      <c r="N56" s="39">
        <f t="shared" si="14"/>
        <v>0</v>
      </c>
      <c r="O56" s="26"/>
      <c r="P56" s="7"/>
      <c r="Q56" s="39">
        <v>0</v>
      </c>
      <c r="R56" s="26"/>
      <c r="S56" s="39">
        <f t="shared" si="15"/>
        <v>0</v>
      </c>
      <c r="T56" s="55"/>
      <c r="U56" s="6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9.149999999999999" customHeight="1">
      <c r="A57" s="396" t="s">
        <v>316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/>
      <c r="J57" s="14"/>
      <c r="K57" s="73"/>
      <c r="L57" s="61">
        <v>4689.3799999999901</v>
      </c>
      <c r="M57" s="14"/>
      <c r="N57" s="61">
        <f t="shared" si="14"/>
        <v>4689.3799999999901</v>
      </c>
      <c r="O57" s="14"/>
      <c r="P57" s="73"/>
      <c r="Q57" s="61">
        <v>17239.509999999995</v>
      </c>
      <c r="R57" s="14"/>
      <c r="S57" s="61">
        <f t="shared" si="15"/>
        <v>-12550.130000000005</v>
      </c>
      <c r="T57" s="74"/>
      <c r="U57" s="6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396" t="s">
        <v>317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/>
      <c r="J58" s="26"/>
      <c r="K58" s="7"/>
      <c r="L58" s="39">
        <v>4264.880000000001</v>
      </c>
      <c r="M58" s="26"/>
      <c r="N58" s="39">
        <f t="shared" si="14"/>
        <v>4264.880000000001</v>
      </c>
      <c r="O58" s="26"/>
      <c r="P58" s="7"/>
      <c r="Q58" s="39">
        <v>4373.82</v>
      </c>
      <c r="R58" s="26"/>
      <c r="S58" s="39">
        <f t="shared" si="15"/>
        <v>-108.93999999999869</v>
      </c>
      <c r="T58" s="55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396" t="s">
        <v>318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/>
      <c r="J59" s="26"/>
      <c r="K59" s="7"/>
      <c r="L59" s="39">
        <v>987.72000000000071</v>
      </c>
      <c r="M59" s="26"/>
      <c r="N59" s="39">
        <f t="shared" si="14"/>
        <v>987.72000000000071</v>
      </c>
      <c r="O59" s="26"/>
      <c r="P59" s="7"/>
      <c r="Q59" s="39">
        <v>3505.1400000000008</v>
      </c>
      <c r="R59" s="26"/>
      <c r="S59" s="39">
        <f t="shared" si="15"/>
        <v>-2517.42</v>
      </c>
      <c r="T59" s="7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396" t="s">
        <v>319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/>
      <c r="J60" s="14"/>
      <c r="K60" s="73"/>
      <c r="L60" s="61">
        <v>5144.1100000000042</v>
      </c>
      <c r="M60" s="14"/>
      <c r="N60" s="61">
        <f t="shared" si="14"/>
        <v>5144.1100000000042</v>
      </c>
      <c r="O60" s="14"/>
      <c r="P60" s="73"/>
      <c r="Q60" s="61">
        <v>7978.8700000000008</v>
      </c>
      <c r="R60" s="14"/>
      <c r="S60" s="61">
        <f t="shared" si="15"/>
        <v>-2834.7599999999966</v>
      </c>
      <c r="T60" s="7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396" t="s">
        <v>320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/>
      <c r="J61" s="26"/>
      <c r="K61" s="7"/>
      <c r="L61" s="39">
        <v>408.45000000000027</v>
      </c>
      <c r="M61" s="26"/>
      <c r="N61" s="39">
        <f t="shared" si="14"/>
        <v>408.45000000000027</v>
      </c>
      <c r="O61" s="26"/>
      <c r="P61" s="7"/>
      <c r="Q61" s="39">
        <v>937.11000000000013</v>
      </c>
      <c r="R61" s="26"/>
      <c r="S61" s="39">
        <f t="shared" si="15"/>
        <v>-528.65999999999985</v>
      </c>
      <c r="T61" s="7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396" t="s">
        <v>321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/>
      <c r="J62" s="26"/>
      <c r="K62" s="7"/>
      <c r="L62" s="39">
        <v>0</v>
      </c>
      <c r="M62" s="26"/>
      <c r="N62" s="39">
        <f t="shared" si="14"/>
        <v>0</v>
      </c>
      <c r="O62" s="26"/>
      <c r="P62" s="7"/>
      <c r="Q62" s="39">
        <v>0</v>
      </c>
      <c r="R62" s="26"/>
      <c r="S62" s="39">
        <f t="shared" si="15"/>
        <v>0</v>
      </c>
      <c r="T62" s="7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396" t="s">
        <v>322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/>
      <c r="J63" s="26"/>
      <c r="K63" s="7"/>
      <c r="L63" s="39">
        <v>1184.3899999999994</v>
      </c>
      <c r="M63" s="26"/>
      <c r="N63" s="39">
        <f t="shared" si="14"/>
        <v>1184.3899999999994</v>
      </c>
      <c r="O63" s="26"/>
      <c r="P63" s="7"/>
      <c r="Q63" s="39">
        <v>791.38999999999942</v>
      </c>
      <c r="R63" s="26"/>
      <c r="S63" s="39">
        <f t="shared" si="15"/>
        <v>393</v>
      </c>
      <c r="T63" s="7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396" t="s">
        <v>323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/>
      <c r="J64" s="26"/>
      <c r="K64" s="7"/>
      <c r="L64" s="39">
        <v>630.25000000000045</v>
      </c>
      <c r="M64" s="26"/>
      <c r="N64" s="39">
        <f t="shared" si="14"/>
        <v>630.25000000000045</v>
      </c>
      <c r="O64" s="26"/>
      <c r="P64" s="7"/>
      <c r="Q64" s="39">
        <v>1028.7700000000004</v>
      </c>
      <c r="R64" s="26"/>
      <c r="S64" s="39">
        <f t="shared" si="15"/>
        <v>-398.52</v>
      </c>
      <c r="T64" s="7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396" t="s">
        <v>324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/>
      <c r="J65" s="26"/>
      <c r="K65" s="7"/>
      <c r="L65" s="39">
        <v>1095.8700000000008</v>
      </c>
      <c r="M65" s="26"/>
      <c r="N65" s="39">
        <f t="shared" si="14"/>
        <v>1095.8700000000008</v>
      </c>
      <c r="O65" s="26"/>
      <c r="P65" s="7"/>
      <c r="Q65" s="39">
        <v>1004.8900000000003</v>
      </c>
      <c r="R65" s="26"/>
      <c r="S65" s="39">
        <f t="shared" si="15"/>
        <v>90.980000000000473</v>
      </c>
      <c r="T65" s="7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396" t="s">
        <v>325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/>
      <c r="J66" s="26"/>
      <c r="K66" s="7"/>
      <c r="L66" s="39">
        <v>2613.35</v>
      </c>
      <c r="M66" s="26"/>
      <c r="N66" s="39">
        <f t="shared" si="14"/>
        <v>2613.35</v>
      </c>
      <c r="O66" s="26"/>
      <c r="P66" s="7"/>
      <c r="Q66" s="39">
        <v>2193.6800000000003</v>
      </c>
      <c r="R66" s="26"/>
      <c r="S66" s="39">
        <f t="shared" si="15"/>
        <v>419.66999999999962</v>
      </c>
      <c r="T66" s="7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396" t="s">
        <v>326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/>
      <c r="J67" s="26"/>
      <c r="K67" s="7"/>
      <c r="L67" s="39">
        <v>570</v>
      </c>
      <c r="M67" s="26"/>
      <c r="N67" s="39">
        <f t="shared" si="14"/>
        <v>570</v>
      </c>
      <c r="O67" s="26"/>
      <c r="P67" s="7"/>
      <c r="Q67" s="39">
        <v>665</v>
      </c>
      <c r="R67" s="26"/>
      <c r="S67" s="39">
        <f t="shared" si="15"/>
        <v>-95</v>
      </c>
      <c r="T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396" t="s">
        <v>327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/>
      <c r="J68" s="26"/>
      <c r="K68" s="7"/>
      <c r="L68" s="39">
        <v>1435.5499999999993</v>
      </c>
      <c r="M68" s="26"/>
      <c r="N68" s="39">
        <f t="shared" si="14"/>
        <v>1435.5499999999993</v>
      </c>
      <c r="O68" s="26"/>
      <c r="P68" s="7"/>
      <c r="Q68" s="39">
        <v>341.48</v>
      </c>
      <c r="R68" s="26"/>
      <c r="S68" s="39">
        <f t="shared" si="15"/>
        <v>1094.0699999999993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396" t="s">
        <v>284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/>
      <c r="J69" s="26"/>
      <c r="K69" s="7"/>
      <c r="L69" s="39"/>
      <c r="M69" s="26"/>
      <c r="N69" s="39">
        <f t="shared" si="14"/>
        <v>0</v>
      </c>
      <c r="O69" s="26"/>
      <c r="P69" s="7"/>
      <c r="Q69" s="39"/>
      <c r="R69" s="26"/>
      <c r="S69" s="39">
        <f t="shared" si="15"/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396" t="s">
        <v>284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/>
      <c r="J70" s="26"/>
      <c r="K70" s="7"/>
      <c r="L70" s="39">
        <v>0</v>
      </c>
      <c r="M70" s="26"/>
      <c r="N70" s="39">
        <f t="shared" si="14"/>
        <v>0</v>
      </c>
      <c r="O70" s="26"/>
      <c r="P70" s="7"/>
      <c r="Q70" s="39">
        <v>0</v>
      </c>
      <c r="R70" s="26"/>
      <c r="S70" s="39">
        <f t="shared" si="15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396" t="s">
        <v>284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/>
      <c r="J71" s="26"/>
      <c r="K71" s="7"/>
      <c r="L71" s="39">
        <v>0</v>
      </c>
      <c r="M71" s="26"/>
      <c r="N71" s="39">
        <f t="shared" si="14"/>
        <v>0</v>
      </c>
      <c r="O71" s="26"/>
      <c r="P71" s="7"/>
      <c r="Q71" s="39">
        <v>0</v>
      </c>
      <c r="R71" s="26"/>
      <c r="S71" s="39">
        <f t="shared" si="15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396" t="s">
        <v>328</v>
      </c>
      <c r="B72" s="7" t="s">
        <v>0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/>
      <c r="H72" s="63"/>
      <c r="I72" s="64"/>
      <c r="J72" s="65" t="s">
        <v>38</v>
      </c>
      <c r="K72" s="63">
        <f>L72/L$27</f>
        <v>0.11781989932476554</v>
      </c>
      <c r="L72" s="64">
        <f>+SUM(L55:L71)</f>
        <v>23023.949999999993</v>
      </c>
      <c r="M72" s="66"/>
      <c r="N72" s="64">
        <f>+SUM(N55:N71)</f>
        <v>23023.949999999993</v>
      </c>
      <c r="O72" s="65" t="s">
        <v>38</v>
      </c>
      <c r="P72" s="63">
        <f>Q72/Q$27</f>
        <v>0.12902851557616574</v>
      </c>
      <c r="Q72" s="64">
        <f>+SUM(Q55:Q71)</f>
        <v>40059.660000000003</v>
      </c>
      <c r="R72" s="67"/>
      <c r="S72" s="64">
        <f>+SUM(S55:S71)</f>
        <v>-17035.710000000003</v>
      </c>
      <c r="T72" s="7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396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396" t="s">
        <v>329</v>
      </c>
      <c r="B74" s="7" t="s">
        <v>0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/>
      <c r="H74" s="63"/>
      <c r="I74" s="64"/>
      <c r="J74" s="65" t="s">
        <v>38</v>
      </c>
      <c r="K74" s="63">
        <f>L74/L$27</f>
        <v>0.60950934127971379</v>
      </c>
      <c r="L74" s="64">
        <f>L41+L54+L72</f>
        <v>119108.17000000003</v>
      </c>
      <c r="M74" s="66"/>
      <c r="N74" s="64">
        <f t="shared" ref="N74:N82" si="16">L74-F74</f>
        <v>119108.17000000003</v>
      </c>
      <c r="O74" s="65" t="s">
        <v>38</v>
      </c>
      <c r="P74" s="63">
        <f>Q74/Q$27</f>
        <v>0.45678723935155313</v>
      </c>
      <c r="Q74" s="64">
        <f>Q41+Q54+Q72</f>
        <v>141819.35999999987</v>
      </c>
      <c r="R74" s="67"/>
      <c r="S74" s="64">
        <f>L74-Q74</f>
        <v>-22711.189999999842</v>
      </c>
      <c r="T74" s="7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396" t="s">
        <v>330</v>
      </c>
      <c r="B75" s="7" t="s">
        <v>0</v>
      </c>
      <c r="C75" s="26" t="s">
        <v>331</v>
      </c>
      <c r="D75" s="54"/>
      <c r="E75" s="7"/>
      <c r="F75" s="19">
        <v>0</v>
      </c>
      <c r="G75" s="56"/>
      <c r="H75" s="7"/>
      <c r="I75" s="19"/>
      <c r="J75" s="26"/>
      <c r="K75" s="7"/>
      <c r="L75" s="39">
        <v>2794.3899999999994</v>
      </c>
      <c r="M75" s="26"/>
      <c r="N75" s="39">
        <f t="shared" si="16"/>
        <v>2794.3899999999994</v>
      </c>
      <c r="O75" s="26"/>
      <c r="P75" s="7"/>
      <c r="Q75" s="39">
        <v>25095</v>
      </c>
      <c r="R75" s="26"/>
      <c r="S75" s="39">
        <f t="shared" ref="S75:S82" si="17">L75-Q75</f>
        <v>-22300.61</v>
      </c>
      <c r="T75" s="7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396" t="s">
        <v>332</v>
      </c>
      <c r="B76" s="7" t="s">
        <v>0</v>
      </c>
      <c r="C76" s="300" t="s">
        <v>186</v>
      </c>
      <c r="D76" s="54"/>
      <c r="E76" s="7"/>
      <c r="F76" s="19">
        <v>0</v>
      </c>
      <c r="G76" s="56"/>
      <c r="H76" s="7"/>
      <c r="I76" s="19"/>
      <c r="J76" s="26"/>
      <c r="K76" s="7"/>
      <c r="L76" s="39">
        <v>0</v>
      </c>
      <c r="M76" s="26"/>
      <c r="N76" s="39">
        <f t="shared" si="16"/>
        <v>0</v>
      </c>
      <c r="O76" s="26"/>
      <c r="P76" s="7"/>
      <c r="Q76" s="39">
        <v>0</v>
      </c>
      <c r="R76" s="26"/>
      <c r="S76" s="39">
        <f t="shared" si="17"/>
        <v>0</v>
      </c>
      <c r="T76" s="7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396" t="s">
        <v>333</v>
      </c>
      <c r="B77" s="7" t="s">
        <v>0</v>
      </c>
      <c r="C77" s="300" t="s">
        <v>65</v>
      </c>
      <c r="D77" s="54"/>
      <c r="E77" s="7"/>
      <c r="F77" s="19">
        <v>0</v>
      </c>
      <c r="G77" s="56"/>
      <c r="H77" s="7"/>
      <c r="I77" s="19"/>
      <c r="J77" s="26"/>
      <c r="K77" s="7"/>
      <c r="L77" s="39">
        <v>0</v>
      </c>
      <c r="M77" s="26"/>
      <c r="N77" s="39">
        <f t="shared" si="16"/>
        <v>0</v>
      </c>
      <c r="O77" s="26"/>
      <c r="P77" s="7"/>
      <c r="Q77" s="39">
        <v>0</v>
      </c>
      <c r="R77" s="26"/>
      <c r="S77" s="39">
        <f t="shared" si="17"/>
        <v>0</v>
      </c>
      <c r="T77" s="7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396" t="s">
        <v>334</v>
      </c>
      <c r="B78" s="7" t="s">
        <v>0</v>
      </c>
      <c r="C78" s="300" t="s">
        <v>66</v>
      </c>
      <c r="D78" s="54"/>
      <c r="E78" s="301" t="e">
        <f>+F78/D27</f>
        <v>#DIV/0!</v>
      </c>
      <c r="F78" s="19">
        <v>0</v>
      </c>
      <c r="G78" s="56"/>
      <c r="H78" s="7"/>
      <c r="I78" s="19"/>
      <c r="J78" s="302"/>
      <c r="K78" s="301">
        <f>+L78/J27</f>
        <v>0</v>
      </c>
      <c r="L78" s="39">
        <v>0</v>
      </c>
      <c r="M78" s="26"/>
      <c r="N78" s="39">
        <f t="shared" si="16"/>
        <v>0</v>
      </c>
      <c r="O78" s="302"/>
      <c r="P78" s="301">
        <f>+Q78/O27</f>
        <v>0</v>
      </c>
      <c r="Q78" s="39">
        <v>0</v>
      </c>
      <c r="R78" s="26"/>
      <c r="S78" s="39">
        <f t="shared" si="17"/>
        <v>0</v>
      </c>
      <c r="T78" s="7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396" t="s">
        <v>284</v>
      </c>
      <c r="B79" s="7" t="s">
        <v>0</v>
      </c>
      <c r="C79" s="300" t="s">
        <v>19</v>
      </c>
      <c r="D79" s="54"/>
      <c r="E79" s="7"/>
      <c r="F79" s="19">
        <v>0</v>
      </c>
      <c r="G79" s="56"/>
      <c r="H79" s="7"/>
      <c r="I79" s="19"/>
      <c r="J79" s="26"/>
      <c r="K79" s="7"/>
      <c r="L79" s="39">
        <v>0</v>
      </c>
      <c r="M79" s="26"/>
      <c r="N79" s="39">
        <f t="shared" si="16"/>
        <v>0</v>
      </c>
      <c r="O79" s="26"/>
      <c r="P79" s="7"/>
      <c r="Q79" s="39">
        <v>0</v>
      </c>
      <c r="R79" s="26"/>
      <c r="S79" s="39">
        <f t="shared" si="17"/>
        <v>0</v>
      </c>
      <c r="T79" s="7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396" t="s">
        <v>284</v>
      </c>
      <c r="B80" s="7" t="s">
        <v>0</v>
      </c>
      <c r="C80" s="300" t="s">
        <v>19</v>
      </c>
      <c r="D80" s="54"/>
      <c r="E80" s="7"/>
      <c r="F80" s="19">
        <v>0</v>
      </c>
      <c r="G80" s="56"/>
      <c r="H80" s="7"/>
      <c r="I80" s="19"/>
      <c r="J80" s="26"/>
      <c r="K80" s="7"/>
      <c r="L80" s="39">
        <v>0</v>
      </c>
      <c r="M80" s="26"/>
      <c r="N80" s="39">
        <f t="shared" si="16"/>
        <v>0</v>
      </c>
      <c r="O80" s="26"/>
      <c r="P80" s="7"/>
      <c r="Q80" s="39">
        <v>0</v>
      </c>
      <c r="R80" s="26"/>
      <c r="S80" s="39">
        <f t="shared" si="17"/>
        <v>0</v>
      </c>
      <c r="T80" s="7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396" t="s">
        <v>284</v>
      </c>
      <c r="B81" s="7" t="s">
        <v>0</v>
      </c>
      <c r="C81" s="300" t="s">
        <v>19</v>
      </c>
      <c r="D81" s="54"/>
      <c r="E81" s="7"/>
      <c r="F81" s="19">
        <v>0</v>
      </c>
      <c r="G81" s="56"/>
      <c r="H81" s="7"/>
      <c r="I81" s="19"/>
      <c r="J81" s="26"/>
      <c r="K81" s="7"/>
      <c r="L81" s="39">
        <v>0</v>
      </c>
      <c r="M81" s="26"/>
      <c r="N81" s="39">
        <f t="shared" si="16"/>
        <v>0</v>
      </c>
      <c r="O81" s="26"/>
      <c r="P81" s="7"/>
      <c r="Q81" s="39">
        <v>0</v>
      </c>
      <c r="R81" s="26"/>
      <c r="S81" s="39">
        <f t="shared" si="17"/>
        <v>0</v>
      </c>
      <c r="T81" s="7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335</v>
      </c>
      <c r="B82" s="7" t="s">
        <v>0</v>
      </c>
      <c r="C82" s="26" t="s">
        <v>67</v>
      </c>
      <c r="D82" s="303" t="e">
        <f>E82/499</f>
        <v>#DIV/0!</v>
      </c>
      <c r="E82" s="274" t="e">
        <f>+F82/D24</f>
        <v>#DIV/0!</v>
      </c>
      <c r="F82" s="19">
        <v>0</v>
      </c>
      <c r="G82" s="56"/>
      <c r="H82" s="7"/>
      <c r="I82" s="19"/>
      <c r="J82" s="275">
        <f>K82/699</f>
        <v>0.79907804800508664</v>
      </c>
      <c r="K82" s="274">
        <f>+L82/J24</f>
        <v>558.55555555555554</v>
      </c>
      <c r="L82" s="39">
        <v>30162</v>
      </c>
      <c r="M82" s="26"/>
      <c r="N82" s="39">
        <f t="shared" si="16"/>
        <v>30162</v>
      </c>
      <c r="O82" s="275">
        <f>P82/699</f>
        <v>0</v>
      </c>
      <c r="P82" s="274">
        <f>+Q82/O24</f>
        <v>0</v>
      </c>
      <c r="Q82" s="39">
        <v>0</v>
      </c>
      <c r="R82" s="26"/>
      <c r="S82" s="39">
        <f t="shared" si="17"/>
        <v>30162</v>
      </c>
      <c r="T82" s="7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396" t="s">
        <v>336</v>
      </c>
      <c r="B83" s="7" t="s">
        <v>0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/>
      <c r="J83" s="65"/>
      <c r="K83" s="63"/>
      <c r="L83" s="64">
        <f>+SUM(L75:L82)</f>
        <v>32956.39</v>
      </c>
      <c r="M83" s="66"/>
      <c r="N83" s="64">
        <f>+SUM(N75:N82)</f>
        <v>32956.39</v>
      </c>
      <c r="O83" s="65"/>
      <c r="P83" s="63"/>
      <c r="Q83" s="64">
        <f>+SUM(Q75:Q82)</f>
        <v>25095</v>
      </c>
      <c r="R83" s="67"/>
      <c r="S83" s="64">
        <f>+SUM(S75:S82)</f>
        <v>7861.3899999999994</v>
      </c>
      <c r="T83" s="7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396" t="s">
        <v>0</v>
      </c>
      <c r="B84" s="7" t="s">
        <v>0</v>
      </c>
      <c r="C84" s="304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396" t="s">
        <v>337</v>
      </c>
      <c r="B85" s="7" t="s">
        <v>0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/>
      <c r="J85" s="279"/>
      <c r="K85" s="278"/>
      <c r="L85" s="138">
        <f>L27-L74+L83</f>
        <v>109264.69999999943</v>
      </c>
      <c r="M85" s="280"/>
      <c r="N85" s="138">
        <f>N27-N41-N54-N72+N83</f>
        <v>109264.69999999942</v>
      </c>
      <c r="O85" s="279"/>
      <c r="P85" s="278"/>
      <c r="Q85" s="138">
        <f>Q27-Q74+Q83</f>
        <v>193747.01000001165</v>
      </c>
      <c r="R85" s="281"/>
      <c r="S85" s="138">
        <f>S27-S41-S54-S72+S83</f>
        <v>-84482.31000001225</v>
      </c>
      <c r="T85" s="7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5"/>
      <c r="K86" s="82"/>
      <c r="L86" s="306"/>
      <c r="M86" s="82"/>
      <c r="N86" s="82"/>
      <c r="O86" s="82"/>
      <c r="P86" s="82"/>
      <c r="Q86" s="83"/>
      <c r="R86" s="82"/>
      <c r="S86" s="82"/>
      <c r="T86" s="82"/>
      <c r="U86" s="6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6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Réalisé, Juillet 2026</v>
      </c>
      <c r="T89" s="2"/>
      <c r="U89" s="381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426" t="s">
        <v>5</v>
      </c>
      <c r="E91" s="427"/>
      <c r="F91" s="425"/>
      <c r="G91" s="424"/>
      <c r="H91" s="427"/>
      <c r="I91" s="425"/>
      <c r="J91" s="424" t="s">
        <v>7</v>
      </c>
      <c r="K91" s="427"/>
      <c r="L91" s="425"/>
      <c r="M91" s="424" t="s">
        <v>210</v>
      </c>
      <c r="N91" s="425"/>
      <c r="O91" s="426" t="s">
        <v>8</v>
      </c>
      <c r="P91" s="427"/>
      <c r="Q91" s="425"/>
      <c r="R91" s="424" t="s">
        <v>211</v>
      </c>
      <c r="S91" s="425"/>
      <c r="T91" s="7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220</v>
      </c>
      <c r="K92" s="9" t="s">
        <v>13</v>
      </c>
      <c r="L92" s="10" t="s">
        <v>12</v>
      </c>
      <c r="M92" s="11" t="s">
        <v>220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220</v>
      </c>
      <c r="S92" s="10" t="s">
        <v>12</v>
      </c>
      <c r="T92" s="7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396" t="s">
        <v>221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/>
      <c r="J93" s="14"/>
      <c r="K93" s="58"/>
      <c r="L93" s="61">
        <v>1470640.9100000001</v>
      </c>
      <c r="M93" s="86"/>
      <c r="N93" s="87"/>
      <c r="O93" s="14"/>
      <c r="P93" s="58"/>
      <c r="Q93" s="61">
        <v>2050773.7499999998</v>
      </c>
      <c r="R93" s="307"/>
      <c r="S93" s="286"/>
      <c r="T93" s="7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396" t="s">
        <v>223</v>
      </c>
      <c r="B94" s="7" t="s">
        <v>70</v>
      </c>
      <c r="C94" s="26" t="s">
        <v>72</v>
      </c>
      <c r="D94" s="19">
        <v>0</v>
      </c>
      <c r="E94" s="19">
        <f>IF(D94=0,0,F94/D94)</f>
        <v>0</v>
      </c>
      <c r="F94" s="19">
        <v>0</v>
      </c>
      <c r="G94" s="20"/>
      <c r="H94" s="19"/>
      <c r="I94" s="19"/>
      <c r="J94" s="20">
        <v>0</v>
      </c>
      <c r="K94" s="55">
        <f t="shared" ref="K94:K96" si="18">IF(J94=0,0,L94/J94)</f>
        <v>0</v>
      </c>
      <c r="L94" s="39">
        <v>0</v>
      </c>
      <c r="M94" s="20">
        <f>J94-D94</f>
        <v>0</v>
      </c>
      <c r="N94" s="21">
        <f>L94-F94</f>
        <v>0</v>
      </c>
      <c r="O94" s="20">
        <v>0</v>
      </c>
      <c r="P94" s="55">
        <f t="shared" ref="P94:P96" si="19">IF(O94=0,0,Q94/O94)</f>
        <v>0</v>
      </c>
      <c r="Q94" s="39">
        <v>0</v>
      </c>
      <c r="R94" s="20">
        <f t="shared" ref="R94" si="20">J94-O94</f>
        <v>0</v>
      </c>
      <c r="S94" s="39">
        <f t="shared" ref="S94:S95" si="21">L94-Q94</f>
        <v>0</v>
      </c>
      <c r="T94" s="7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396" t="s">
        <v>225</v>
      </c>
      <c r="B95" s="7" t="s">
        <v>70</v>
      </c>
      <c r="C95" s="26" t="s">
        <v>73</v>
      </c>
      <c r="D95" s="19">
        <v>0</v>
      </c>
      <c r="E95" s="19">
        <f t="shared" ref="E95:E106" si="22">IF(D95=0,0,F95/D95)</f>
        <v>0</v>
      </c>
      <c r="F95" s="19">
        <v>0</v>
      </c>
      <c r="G95" s="20"/>
      <c r="H95" s="19"/>
      <c r="I95" s="19"/>
      <c r="J95" s="20">
        <v>23</v>
      </c>
      <c r="K95" s="55">
        <f t="shared" si="18"/>
        <v>645.77434782610453</v>
      </c>
      <c r="L95" s="39">
        <v>14852.810000000405</v>
      </c>
      <c r="M95" s="20">
        <f>J95-D95</f>
        <v>23</v>
      </c>
      <c r="N95" s="21">
        <f>L95-F95</f>
        <v>14852.810000000405</v>
      </c>
      <c r="O95" s="20">
        <v>12</v>
      </c>
      <c r="P95" s="55">
        <f t="shared" si="19"/>
        <v>1196.0858333333163</v>
      </c>
      <c r="Q95" s="39">
        <v>14353.029999999795</v>
      </c>
      <c r="R95" s="20">
        <f>J95-O95</f>
        <v>11</v>
      </c>
      <c r="S95" s="39">
        <f t="shared" si="21"/>
        <v>499.78000000061002</v>
      </c>
      <c r="T95" s="7"/>
      <c r="U95" s="6" t="s">
        <v>504</v>
      </c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396" t="str">
        <f>B96&amp;C96</f>
        <v>Véhicules usagésAutres Marques</v>
      </c>
      <c r="B96" s="7" t="s">
        <v>70</v>
      </c>
      <c r="C96" s="26" t="s">
        <v>338</v>
      </c>
      <c r="D96" s="19">
        <v>0</v>
      </c>
      <c r="E96" s="30">
        <f t="shared" si="22"/>
        <v>0</v>
      </c>
      <c r="F96" s="19">
        <v>0</v>
      </c>
      <c r="G96" s="20"/>
      <c r="H96" s="19"/>
      <c r="I96" s="19"/>
      <c r="J96" s="20">
        <v>0</v>
      </c>
      <c r="K96" s="58">
        <f t="shared" si="18"/>
        <v>0</v>
      </c>
      <c r="L96" s="39">
        <v>0</v>
      </c>
      <c r="M96" s="20">
        <f>J96-D96</f>
        <v>0</v>
      </c>
      <c r="N96" s="21">
        <f>L96-F96</f>
        <v>0</v>
      </c>
      <c r="O96" s="20">
        <v>0</v>
      </c>
      <c r="P96" s="58">
        <f t="shared" si="19"/>
        <v>0</v>
      </c>
      <c r="Q96" s="39">
        <v>0</v>
      </c>
      <c r="R96" s="20">
        <f>J96-O96</f>
        <v>0</v>
      </c>
      <c r="S96" s="39">
        <f>L96-Q96</f>
        <v>0</v>
      </c>
      <c r="T96" s="7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396" t="str">
        <f t="shared" ref="A97:A100" si="23">B97&amp;C97</f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 t="shared" si="22"/>
        <v>0</v>
      </c>
      <c r="F97" s="23">
        <f>+F94+F95+F96</f>
        <v>0</v>
      </c>
      <c r="G97" s="24"/>
      <c r="H97" s="22"/>
      <c r="I97" s="23"/>
      <c r="J97" s="24">
        <f>+J94+J95+J96</f>
        <v>23</v>
      </c>
      <c r="K97" s="74">
        <f>IF(J97&lt;=0,0,L97/J97)</f>
        <v>645.77434782610453</v>
      </c>
      <c r="L97" s="123">
        <f>+L94+L95+L96</f>
        <v>14852.810000000405</v>
      </c>
      <c r="M97" s="24">
        <f>J97-D97</f>
        <v>23</v>
      </c>
      <c r="N97" s="23">
        <f>L97-F97</f>
        <v>14852.810000000405</v>
      </c>
      <c r="O97" s="22">
        <f>+O94+O95+O96</f>
        <v>12</v>
      </c>
      <c r="P97" s="74">
        <f>IF(O97&lt;=0,0,Q97/O97)</f>
        <v>1196.0858333333163</v>
      </c>
      <c r="Q97" s="123">
        <f>+Q94+Q95+Q96</f>
        <v>14353.029999999795</v>
      </c>
      <c r="R97" s="24">
        <f>R94+R95</f>
        <v>11</v>
      </c>
      <c r="S97" s="123">
        <f>S94+S95</f>
        <v>499.78000000061002</v>
      </c>
      <c r="T97" s="6">
        <v>23</v>
      </c>
      <c r="U97" s="397">
        <v>14853</v>
      </c>
      <c r="V97" s="398">
        <f>L97-U97</f>
        <v>-0.18999999959487468</v>
      </c>
      <c r="W97" s="7"/>
      <c r="X97" s="7"/>
      <c r="Y97" s="7"/>
      <c r="Z97" s="7"/>
      <c r="AA97" s="7"/>
      <c r="AB97" s="7"/>
      <c r="AC97" s="55"/>
      <c r="AD97" s="55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396" t="str">
        <f t="shared" si="23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8"/>
      <c r="N98" s="309"/>
      <c r="O98" s="52"/>
      <c r="P98" s="74"/>
      <c r="Q98" s="112"/>
      <c r="R98" s="291">
        <f>R97/O97</f>
        <v>0.91666666666666663</v>
      </c>
      <c r="S98" s="28">
        <f>IF(Q97=0,0,(S97/Q97))</f>
        <v>3.482052221730305E-2</v>
      </c>
      <c r="T98" s="6"/>
      <c r="U98" s="397"/>
      <c r="V98" s="398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396" t="str">
        <f t="shared" si="23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/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/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6"/>
      <c r="U99" s="399"/>
      <c r="V99" s="398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396" t="str">
        <f t="shared" si="23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6"/>
      <c r="U100" s="397"/>
      <c r="V100" s="398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396" t="s">
        <v>339</v>
      </c>
      <c r="B101" s="7" t="s">
        <v>70</v>
      </c>
      <c r="C101" s="52" t="s">
        <v>75</v>
      </c>
      <c r="D101" s="19">
        <v>0</v>
      </c>
      <c r="E101" s="19">
        <f t="shared" si="22"/>
        <v>0</v>
      </c>
      <c r="F101" s="19">
        <v>0</v>
      </c>
      <c r="G101" s="20"/>
      <c r="H101" s="19"/>
      <c r="I101" s="19"/>
      <c r="J101" s="20">
        <v>21</v>
      </c>
      <c r="K101" s="55">
        <f>IF(J101=0,0,L101/J101)</f>
        <v>905.660000000016</v>
      </c>
      <c r="L101" s="39">
        <v>19018.860000000335</v>
      </c>
      <c r="M101" s="20">
        <f>J101-D101</f>
        <v>21</v>
      </c>
      <c r="N101" s="21">
        <f>L101-F101</f>
        <v>19018.860000000335</v>
      </c>
      <c r="O101" s="20">
        <v>47</v>
      </c>
      <c r="P101" s="55">
        <f>IF(O101=0,0,Q101/O101)</f>
        <v>821.43595744681329</v>
      </c>
      <c r="Q101" s="39">
        <v>38607.490000000224</v>
      </c>
      <c r="R101" s="20">
        <f>J101-O101</f>
        <v>-26</v>
      </c>
      <c r="S101" s="39">
        <f>L101-Q101</f>
        <v>-19588.629999999888</v>
      </c>
      <c r="T101" s="6">
        <v>21</v>
      </c>
      <c r="U101" s="397">
        <v>19019</v>
      </c>
      <c r="V101" s="398">
        <f>L101-U101</f>
        <v>-0.13999999966472387</v>
      </c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396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397"/>
      <c r="V102" s="400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396" t="s">
        <v>340</v>
      </c>
      <c r="B103" s="7" t="s">
        <v>70</v>
      </c>
      <c r="C103" s="26" t="s">
        <v>24</v>
      </c>
      <c r="D103" s="19">
        <v>0</v>
      </c>
      <c r="E103" s="19">
        <f t="shared" si="22"/>
        <v>0</v>
      </c>
      <c r="F103" s="21">
        <v>0</v>
      </c>
      <c r="G103" s="20"/>
      <c r="H103" s="19"/>
      <c r="I103" s="19"/>
      <c r="J103" s="20"/>
      <c r="K103" s="55">
        <f>IF(J97=0,0,L103/J97)</f>
        <v>738.695652173913</v>
      </c>
      <c r="L103" s="39">
        <v>16990</v>
      </c>
      <c r="M103" s="20"/>
      <c r="N103" s="21">
        <f>L103-F103</f>
        <v>16990</v>
      </c>
      <c r="O103" s="20"/>
      <c r="P103" s="55">
        <f>IF(O97=0,0,Q103/O97)</f>
        <v>489.49916666666667</v>
      </c>
      <c r="Q103" s="39">
        <v>5873.99</v>
      </c>
      <c r="R103" s="40">
        <f>P103-K103</f>
        <v>-249.19648550724634</v>
      </c>
      <c r="S103" s="39">
        <f t="shared" ref="S103:S105" si="24">L103-Q103</f>
        <v>11116.01</v>
      </c>
      <c r="T103" s="7"/>
      <c r="U103" s="399"/>
      <c r="V103" s="400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396" t="s">
        <v>341</v>
      </c>
      <c r="B104" s="7" t="s">
        <v>70</v>
      </c>
      <c r="C104" s="26" t="s">
        <v>25</v>
      </c>
      <c r="D104" s="19">
        <v>0</v>
      </c>
      <c r="E104" s="19">
        <f t="shared" si="22"/>
        <v>0</v>
      </c>
      <c r="F104" s="21">
        <v>0</v>
      </c>
      <c r="G104" s="20"/>
      <c r="H104" s="19"/>
      <c r="I104" s="19"/>
      <c r="J104" s="20"/>
      <c r="K104" s="55">
        <f>IF(J97=0,0,L104/J97)</f>
        <v>124.43478260869566</v>
      </c>
      <c r="L104" s="39">
        <v>2862</v>
      </c>
      <c r="M104" s="20"/>
      <c r="N104" s="21">
        <f>L104-F104</f>
        <v>2862</v>
      </c>
      <c r="O104" s="20"/>
      <c r="P104" s="55">
        <f>IF(O97=0,0,Q104/O97)</f>
        <v>250.55000000000004</v>
      </c>
      <c r="Q104" s="39">
        <v>3006.6000000000004</v>
      </c>
      <c r="R104" s="40">
        <f t="shared" ref="R104:R106" si="25">P104-K104</f>
        <v>126.11521739130438</v>
      </c>
      <c r="S104" s="39">
        <f t="shared" si="24"/>
        <v>-144.60000000000036</v>
      </c>
      <c r="T104" s="7"/>
      <c r="U104" s="397"/>
      <c r="V104" s="400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396" t="s">
        <v>342</v>
      </c>
      <c r="B105" s="7" t="s">
        <v>70</v>
      </c>
      <c r="C105" s="26" t="s">
        <v>26</v>
      </c>
      <c r="D105" s="19">
        <v>0</v>
      </c>
      <c r="E105" s="30">
        <f t="shared" si="22"/>
        <v>0</v>
      </c>
      <c r="F105" s="21">
        <v>0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>
        <f>L105-F105</f>
        <v>0</v>
      </c>
      <c r="O105" s="20"/>
      <c r="P105" s="58">
        <f>IF(O97=0,0,Q105/O97)</f>
        <v>0</v>
      </c>
      <c r="Q105" s="39">
        <v>0</v>
      </c>
      <c r="R105" s="40">
        <f t="shared" si="25"/>
        <v>0</v>
      </c>
      <c r="S105" s="39">
        <f t="shared" si="24"/>
        <v>0</v>
      </c>
      <c r="T105" s="7"/>
      <c r="U105" s="397"/>
      <c r="V105" s="400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396" t="s">
        <v>343</v>
      </c>
      <c r="B106" s="7" t="s">
        <v>70</v>
      </c>
      <c r="C106" s="289" t="s">
        <v>27</v>
      </c>
      <c r="D106" s="22">
        <f>D97</f>
        <v>0</v>
      </c>
      <c r="E106" s="290">
        <f t="shared" si="22"/>
        <v>0</v>
      </c>
      <c r="F106" s="23">
        <f>F103+F104+F105</f>
        <v>0</v>
      </c>
      <c r="G106" s="24"/>
      <c r="H106" s="22"/>
      <c r="I106" s="23"/>
      <c r="J106" s="24">
        <f>J97</f>
        <v>23</v>
      </c>
      <c r="K106" s="122">
        <f>IF(J106&lt;=0,0,L106/J106)</f>
        <v>863.13043478260875</v>
      </c>
      <c r="L106" s="123">
        <f>L103+L104+L105</f>
        <v>19852</v>
      </c>
      <c r="M106" s="38">
        <f>J106-D106</f>
        <v>23</v>
      </c>
      <c r="N106" s="23">
        <f>L106-F106</f>
        <v>19852</v>
      </c>
      <c r="O106" s="24">
        <f>O97</f>
        <v>12</v>
      </c>
      <c r="P106" s="122">
        <f>IF(O106&lt;=0,0,Q106/O106)</f>
        <v>740.04916666666668</v>
      </c>
      <c r="Q106" s="123">
        <f>Q103+Q104+Q105</f>
        <v>8880.59</v>
      </c>
      <c r="R106" s="124">
        <f t="shared" si="25"/>
        <v>-123.08126811594207</v>
      </c>
      <c r="S106" s="123">
        <f>L106-Q106</f>
        <v>10971.41</v>
      </c>
      <c r="T106" s="7"/>
      <c r="U106" s="397">
        <v>19852</v>
      </c>
      <c r="V106" s="398">
        <f>L106-U106</f>
        <v>0</v>
      </c>
      <c r="W106" s="7"/>
      <c r="X106" s="7"/>
      <c r="Y106" s="7"/>
      <c r="Z106" s="7"/>
      <c r="AA106" s="7"/>
      <c r="AB106" s="7"/>
      <c r="AC106" s="7"/>
      <c r="AD106" s="55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396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1.2354370599250726</v>
      </c>
      <c r="T107" s="7"/>
      <c r="U107" s="397"/>
      <c r="V107" s="398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396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397"/>
      <c r="V108" s="398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396" t="s">
        <v>228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</f>
        <v>0</v>
      </c>
      <c r="G109" s="44"/>
      <c r="H109" s="42"/>
      <c r="I109" s="43"/>
      <c r="J109" s="44">
        <f>J97+J101</f>
        <v>44</v>
      </c>
      <c r="K109" s="41">
        <f>IF(J109&lt;=0,0,L109/J109)</f>
        <v>1220.9925000000169</v>
      </c>
      <c r="L109" s="43">
        <f>L97+L106+L101+L99</f>
        <v>53723.67000000074</v>
      </c>
      <c r="M109" s="44">
        <f>J109-D109</f>
        <v>44</v>
      </c>
      <c r="N109" s="43">
        <f>L109-F109</f>
        <v>53723.67000000074</v>
      </c>
      <c r="O109" s="44">
        <f>O97+O101</f>
        <v>59</v>
      </c>
      <c r="P109" s="41">
        <f>IF(O109&lt;=0,0,Q109/O109)</f>
        <v>1048.1544067796613</v>
      </c>
      <c r="Q109" s="43">
        <f>Q97+Q106+Q101+Q99</f>
        <v>61841.110000000015</v>
      </c>
      <c r="R109" s="44">
        <f>J109-O109</f>
        <v>-15</v>
      </c>
      <c r="S109" s="43">
        <f>L109-Q109</f>
        <v>-8117.4399999992747</v>
      </c>
      <c r="T109" s="7"/>
      <c r="U109" s="397">
        <f>SUM(U97:U107)</f>
        <v>53724</v>
      </c>
      <c r="V109" s="398">
        <f>L109-U109</f>
        <v>-0.32999999925959855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396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>
        <f>O109/R109</f>
        <v>-3.9333333333333331</v>
      </c>
      <c r="S110" s="267">
        <f>IF(Q109=0,0,(S109/Q109))</f>
        <v>-0.1312628444088289</v>
      </c>
      <c r="T110" s="7"/>
      <c r="U110" s="397"/>
      <c r="V110" s="398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396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397"/>
      <c r="V111" s="398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396" t="s">
        <v>230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396" t="s">
        <v>231</v>
      </c>
      <c r="B113" s="7" t="s">
        <v>70</v>
      </c>
      <c r="C113" s="26" t="s">
        <v>30</v>
      </c>
      <c r="D113" s="93" t="e">
        <f>F113/F97</f>
        <v>#DIV/0!</v>
      </c>
      <c r="E113" s="55" t="e">
        <f t="shared" ref="E113:E122" si="26">F113/D$97</f>
        <v>#DIV/0!</v>
      </c>
      <c r="F113" s="19">
        <v>0</v>
      </c>
      <c r="G113" s="99"/>
      <c r="H113" s="55"/>
      <c r="I113" s="19"/>
      <c r="J113" s="99">
        <f>L113/L97</f>
        <v>0.44832257330429798</v>
      </c>
      <c r="K113" s="55">
        <f>IF($J$97=0,0,L113/(J$94+J$95+J96))</f>
        <v>289.51521739130396</v>
      </c>
      <c r="L113" s="39">
        <v>6658.8499999999913</v>
      </c>
      <c r="M113" s="26"/>
      <c r="N113" s="39">
        <f t="shared" ref="N113:N154" si="27">L113-F113</f>
        <v>6658.8499999999913</v>
      </c>
      <c r="O113" s="99">
        <f>Q113/Q97</f>
        <v>0.7509626887145191</v>
      </c>
      <c r="P113" s="55">
        <f>IF($J$97=0,0,Q113/(O$94+O$95+O96))</f>
        <v>898.21583333333331</v>
      </c>
      <c r="Q113" s="39">
        <v>10778.59</v>
      </c>
      <c r="R113" s="26"/>
      <c r="S113" s="39">
        <f>L113-Q113</f>
        <v>-4119.7400000000089</v>
      </c>
      <c r="T113" s="7"/>
      <c r="U113" s="6" t="s">
        <v>500</v>
      </c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396" t="s">
        <v>232</v>
      </c>
      <c r="B114" s="7" t="s">
        <v>70</v>
      </c>
      <c r="C114" s="14" t="s">
        <v>31</v>
      </c>
      <c r="D114" s="310" t="e">
        <f>F114/(F106)</f>
        <v>#DIV/0!</v>
      </c>
      <c r="E114" s="58" t="e">
        <f t="shared" si="26"/>
        <v>#DIV/0!</v>
      </c>
      <c r="F114" s="31">
        <v>0</v>
      </c>
      <c r="G114" s="104"/>
      <c r="H114" s="58"/>
      <c r="I114" s="31"/>
      <c r="J114" s="104">
        <f>L114/(L106)</f>
        <v>0.24135401974612114</v>
      </c>
      <c r="K114" s="58">
        <f>IF($J$97=0,0,L114/(J$94+J$95+J96))</f>
        <v>208.31999999999988</v>
      </c>
      <c r="L114" s="39">
        <v>4791.3599999999969</v>
      </c>
      <c r="M114" s="14"/>
      <c r="N114" s="61">
        <f t="shared" si="27"/>
        <v>4791.3599999999969</v>
      </c>
      <c r="O114" s="104">
        <f>Q114/(Q106)</f>
        <v>0.24642169045074697</v>
      </c>
      <c r="P114" s="58">
        <f>IF($J$97=0,0,Q114/(O$94+O$95+O96))</f>
        <v>182.36416666666659</v>
      </c>
      <c r="Q114" s="39">
        <v>2188.369999999999</v>
      </c>
      <c r="R114" s="14"/>
      <c r="S114" s="61">
        <f t="shared" ref="S114:S166" si="28">L114-Q114</f>
        <v>2602.989999999998</v>
      </c>
      <c r="T114" s="7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396" t="s">
        <v>233</v>
      </c>
      <c r="B115" s="7" t="s">
        <v>70</v>
      </c>
      <c r="C115" s="26" t="s">
        <v>32</v>
      </c>
      <c r="D115" s="54"/>
      <c r="E115" s="55" t="e">
        <f t="shared" si="26"/>
        <v>#DIV/0!</v>
      </c>
      <c r="F115" s="19">
        <v>0</v>
      </c>
      <c r="G115" s="56"/>
      <c r="H115" s="55"/>
      <c r="I115" s="19"/>
      <c r="J115" s="26"/>
      <c r="K115" s="55">
        <f>IF($J$97=0,0,L115/(J$94+J$95+J96))</f>
        <v>-38.096086956521781</v>
      </c>
      <c r="L115" s="72">
        <v>-876.21000000000095</v>
      </c>
      <c r="M115" s="26"/>
      <c r="N115" s="39">
        <f t="shared" si="27"/>
        <v>-876.21000000000095</v>
      </c>
      <c r="O115" s="26"/>
      <c r="P115" s="55">
        <f>IF($J$97=0,0,Q115/(O$94+O$95+O96))</f>
        <v>-226.66166666666663</v>
      </c>
      <c r="Q115" s="72">
        <v>-2719.9399999999996</v>
      </c>
      <c r="R115" s="26"/>
      <c r="S115" s="39">
        <f t="shared" si="28"/>
        <v>1843.7299999999987</v>
      </c>
      <c r="T115" s="7"/>
      <c r="U115" s="6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396" t="s">
        <v>234</v>
      </c>
      <c r="B116" s="7" t="s">
        <v>70</v>
      </c>
      <c r="C116" s="26" t="s">
        <v>33</v>
      </c>
      <c r="D116" s="54"/>
      <c r="E116" s="55" t="e">
        <f t="shared" si="26"/>
        <v>#DIV/0!</v>
      </c>
      <c r="F116" s="19">
        <v>0</v>
      </c>
      <c r="G116" s="56"/>
      <c r="H116" s="55"/>
      <c r="I116" s="19"/>
      <c r="J116" s="26"/>
      <c r="K116" s="55">
        <f>IF($J$97=0,0,L116/(J$94+J$95+J96))</f>
        <v>34.933913043478242</v>
      </c>
      <c r="L116" s="39">
        <v>803.47999999999956</v>
      </c>
      <c r="M116" s="26"/>
      <c r="N116" s="39">
        <f t="shared" si="27"/>
        <v>803.47999999999956</v>
      </c>
      <c r="O116" s="26"/>
      <c r="P116" s="55">
        <f>IF($J$97=0,0,Q116/(O$94+O$95+O96))</f>
        <v>57.285833333333329</v>
      </c>
      <c r="Q116" s="39">
        <v>687.43</v>
      </c>
      <c r="R116" s="26"/>
      <c r="S116" s="39">
        <f t="shared" si="28"/>
        <v>116.04999999999961</v>
      </c>
      <c r="T116" s="7"/>
      <c r="U116" s="6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396" t="s">
        <v>235</v>
      </c>
      <c r="B117" s="7" t="s">
        <v>70</v>
      </c>
      <c r="C117" s="14" t="s">
        <v>34</v>
      </c>
      <c r="D117" s="57"/>
      <c r="E117" s="58" t="e">
        <f t="shared" si="26"/>
        <v>#DIV/0!</v>
      </c>
      <c r="F117" s="31">
        <v>0</v>
      </c>
      <c r="G117" s="59"/>
      <c r="H117" s="58"/>
      <c r="I117" s="31"/>
      <c r="J117" s="14"/>
      <c r="K117" s="58">
        <f>IF($J$97=0,0,L117/(J$94+J$95+J96))</f>
        <v>15.56</v>
      </c>
      <c r="L117" s="61">
        <v>357.88</v>
      </c>
      <c r="M117" s="14"/>
      <c r="N117" s="61">
        <f t="shared" si="27"/>
        <v>357.88</v>
      </c>
      <c r="O117" s="14"/>
      <c r="P117" s="58">
        <f>IF($J$97=0,0,Q117/(O$94+O$95+O96))</f>
        <v>0</v>
      </c>
      <c r="Q117" s="61">
        <v>0</v>
      </c>
      <c r="R117" s="14"/>
      <c r="S117" s="61">
        <f t="shared" si="28"/>
        <v>357.88</v>
      </c>
      <c r="T117" s="7"/>
      <c r="U117" s="97" t="s">
        <v>495</v>
      </c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396" t="s">
        <v>236</v>
      </c>
      <c r="B118" s="7" t="s">
        <v>70</v>
      </c>
      <c r="C118" s="26" t="s">
        <v>35</v>
      </c>
      <c r="D118" s="54"/>
      <c r="E118" s="55" t="e">
        <f t="shared" si="26"/>
        <v>#DIV/0!</v>
      </c>
      <c r="F118" s="19">
        <v>0</v>
      </c>
      <c r="G118" s="56"/>
      <c r="H118" s="55"/>
      <c r="I118" s="19"/>
      <c r="J118" s="26"/>
      <c r="K118" s="55">
        <f>IF($J$97=0,0,L118/(J$94+J$95+J96))</f>
        <v>521.3608695652174</v>
      </c>
      <c r="L118" s="39">
        <v>11991.3</v>
      </c>
      <c r="M118" s="26"/>
      <c r="N118" s="39">
        <f t="shared" si="27"/>
        <v>11991.3</v>
      </c>
      <c r="O118" s="26"/>
      <c r="P118" s="55">
        <f>IF($J$97=0,0,Q118/(O$94+O$95+O96))</f>
        <v>229.71749999999983</v>
      </c>
      <c r="Q118" s="39">
        <v>2756.6099999999979</v>
      </c>
      <c r="R118" s="26"/>
      <c r="S118" s="39">
        <f t="shared" si="28"/>
        <v>9234.6900000000023</v>
      </c>
      <c r="T118" s="7"/>
      <c r="U118" s="97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396" t="s">
        <v>237</v>
      </c>
      <c r="B119" s="7" t="s">
        <v>70</v>
      </c>
      <c r="C119" s="26" t="s">
        <v>36</v>
      </c>
      <c r="D119" s="54"/>
      <c r="E119" s="55" t="e">
        <f t="shared" si="26"/>
        <v>#DIV/0!</v>
      </c>
      <c r="F119" s="19">
        <v>0</v>
      </c>
      <c r="G119" s="56"/>
      <c r="H119" s="55"/>
      <c r="I119" s="19"/>
      <c r="J119" s="26"/>
      <c r="K119" s="55">
        <f>IF($J$97=0,0,L119/(J$94+J$95+J96))</f>
        <v>77.027826086957134</v>
      </c>
      <c r="L119" s="39">
        <v>1771.640000000014</v>
      </c>
      <c r="M119" s="26"/>
      <c r="N119" s="39">
        <f t="shared" si="27"/>
        <v>1771.640000000014</v>
      </c>
      <c r="O119" s="26"/>
      <c r="P119" s="55">
        <f>IF($J$97=0,0,Q119/(O$94+O$95+O96))</f>
        <v>1852.3158333333315</v>
      </c>
      <c r="Q119" s="39">
        <v>22227.789999999979</v>
      </c>
      <c r="R119" s="26"/>
      <c r="S119" s="39">
        <f t="shared" si="28"/>
        <v>-20456.149999999965</v>
      </c>
      <c r="T119" s="6"/>
      <c r="U119" s="9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396" t="s">
        <v>238</v>
      </c>
      <c r="B120" s="7" t="s">
        <v>70</v>
      </c>
      <c r="C120" s="26" t="s">
        <v>302</v>
      </c>
      <c r="D120" s="54"/>
      <c r="E120" s="55" t="e">
        <f t="shared" si="26"/>
        <v>#DIV/0!</v>
      </c>
      <c r="F120" s="19">
        <v>0</v>
      </c>
      <c r="G120" s="56"/>
      <c r="H120" s="55"/>
      <c r="I120" s="19"/>
      <c r="J120" s="26"/>
      <c r="K120" s="55">
        <f>IF($J$97=0,0,L120/(J$94+J$95))</f>
        <v>0</v>
      </c>
      <c r="L120" s="39">
        <v>0</v>
      </c>
      <c r="M120" s="26"/>
      <c r="N120" s="39">
        <f t="shared" si="27"/>
        <v>0</v>
      </c>
      <c r="O120" s="26"/>
      <c r="P120" s="55">
        <f>IF($J$97=0,0,Q120/(O$94+O$95))</f>
        <v>0</v>
      </c>
      <c r="Q120" s="39">
        <v>0</v>
      </c>
      <c r="R120" s="26"/>
      <c r="S120" s="39">
        <f t="shared" si="28"/>
        <v>0</v>
      </c>
      <c r="T120" s="6"/>
      <c r="U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396" t="s">
        <v>238</v>
      </c>
      <c r="B121" s="7" t="s">
        <v>70</v>
      </c>
      <c r="C121" s="26" t="s">
        <v>303</v>
      </c>
      <c r="D121" s="54"/>
      <c r="E121" s="55" t="e">
        <f t="shared" si="26"/>
        <v>#DIV/0!</v>
      </c>
      <c r="F121" s="19">
        <v>0</v>
      </c>
      <c r="G121" s="56"/>
      <c r="H121" s="55"/>
      <c r="I121" s="19"/>
      <c r="J121" s="26"/>
      <c r="K121" s="55">
        <f>IF($J$97=0,0,L121/(J$94+J$95))</f>
        <v>-35.788695652173885</v>
      </c>
      <c r="L121" s="39">
        <v>-823.13999999999942</v>
      </c>
      <c r="M121" s="26"/>
      <c r="N121" s="39">
        <f t="shared" si="27"/>
        <v>-823.13999999999942</v>
      </c>
      <c r="O121" s="26"/>
      <c r="P121" s="55">
        <f>IF($J$97=0,0,Q121/(O$94+O$95))</f>
        <v>0</v>
      </c>
      <c r="Q121" s="39">
        <v>0</v>
      </c>
      <c r="R121" s="26"/>
      <c r="S121" s="39">
        <f t="shared" si="28"/>
        <v>-823.13999999999942</v>
      </c>
      <c r="T121" s="6">
        <v>-823</v>
      </c>
      <c r="U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396" t="s">
        <v>238</v>
      </c>
      <c r="B122" s="7" t="s">
        <v>70</v>
      </c>
      <c r="C122" s="26" t="s">
        <v>19</v>
      </c>
      <c r="D122" s="54"/>
      <c r="E122" s="55" t="e">
        <f t="shared" si="26"/>
        <v>#DIV/0!</v>
      </c>
      <c r="F122" s="19">
        <v>0</v>
      </c>
      <c r="G122" s="56"/>
      <c r="H122" s="55"/>
      <c r="I122" s="19"/>
      <c r="J122" s="26"/>
      <c r="K122" s="55">
        <f>IF($J$97=0,0,L122/(J$94+J$95))</f>
        <v>0</v>
      </c>
      <c r="L122" s="21">
        <v>0</v>
      </c>
      <c r="M122" s="26"/>
      <c r="N122" s="39">
        <f t="shared" si="27"/>
        <v>0</v>
      </c>
      <c r="O122" s="26"/>
      <c r="P122" s="55">
        <f>IF($J$97=0,0,Q122/(O$94+O$95))</f>
        <v>0</v>
      </c>
      <c r="Q122" s="21">
        <v>0</v>
      </c>
      <c r="R122" s="26"/>
      <c r="S122" s="39">
        <f t="shared" si="28"/>
        <v>0</v>
      </c>
      <c r="T122" s="7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396" t="s">
        <v>239</v>
      </c>
      <c r="B123" s="7" t="s">
        <v>70</v>
      </c>
      <c r="C123" s="139" t="s">
        <v>37</v>
      </c>
      <c r="D123" s="62" t="s">
        <v>38</v>
      </c>
      <c r="E123" s="63" t="e">
        <f>F123/F$109</f>
        <v>#DIV/0!</v>
      </c>
      <c r="F123" s="64">
        <f>SUM(F113:F122)</f>
        <v>0</v>
      </c>
      <c r="G123" s="65"/>
      <c r="H123" s="63"/>
      <c r="I123" s="64"/>
      <c r="J123" s="65" t="s">
        <v>38</v>
      </c>
      <c r="K123" s="63">
        <f>L123/L$109</f>
        <v>0.45929773598861839</v>
      </c>
      <c r="L123" s="64">
        <f>SUM(L113:L122)</f>
        <v>24675.16</v>
      </c>
      <c r="M123" s="66"/>
      <c r="N123" s="64">
        <f t="shared" si="27"/>
        <v>24675.16</v>
      </c>
      <c r="O123" s="65" t="s">
        <v>38</v>
      </c>
      <c r="P123" s="63">
        <f>Q123/Q$109</f>
        <v>0.58082479438030732</v>
      </c>
      <c r="Q123" s="64">
        <f>SUM(Q113:Q122)</f>
        <v>35918.849999999977</v>
      </c>
      <c r="R123" s="67"/>
      <c r="S123" s="64">
        <f t="shared" si="28"/>
        <v>-11243.689999999977</v>
      </c>
      <c r="T123" s="7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396" t="s">
        <v>240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/>
      <c r="J124" s="26"/>
      <c r="K124" s="7"/>
      <c r="L124" s="39">
        <v>10231.530000000006</v>
      </c>
      <c r="M124" s="26"/>
      <c r="N124" s="39">
        <f t="shared" si="27"/>
        <v>10231.530000000006</v>
      </c>
      <c r="O124" s="26"/>
      <c r="P124" s="7"/>
      <c r="Q124" s="39">
        <v>17042.630000000005</v>
      </c>
      <c r="R124" s="26"/>
      <c r="S124" s="39">
        <f t="shared" si="28"/>
        <v>-6811.0999999999985</v>
      </c>
      <c r="T124" s="7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396" t="s">
        <v>241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/>
      <c r="J125" s="26"/>
      <c r="K125" s="7"/>
      <c r="L125" s="39">
        <v>6819.5099999999984</v>
      </c>
      <c r="M125" s="26"/>
      <c r="N125" s="39">
        <f t="shared" si="27"/>
        <v>6819.5099999999984</v>
      </c>
      <c r="O125" s="26"/>
      <c r="P125" s="7"/>
      <c r="Q125" s="39">
        <v>4912.130000000001</v>
      </c>
      <c r="R125" s="26"/>
      <c r="S125" s="39">
        <f t="shared" si="28"/>
        <v>1907.3799999999974</v>
      </c>
      <c r="T125" s="7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396" t="s">
        <v>242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/>
      <c r="J126" s="71"/>
      <c r="K126" s="69"/>
      <c r="L126" s="72">
        <v>2247.6399999999994</v>
      </c>
      <c r="M126" s="71"/>
      <c r="N126" s="72">
        <f t="shared" si="27"/>
        <v>2247.6399999999994</v>
      </c>
      <c r="O126" s="71"/>
      <c r="P126" s="69"/>
      <c r="Q126" s="72">
        <v>1498.7600000000002</v>
      </c>
      <c r="R126" s="71"/>
      <c r="S126" s="72">
        <f t="shared" si="28"/>
        <v>748.8799999999992</v>
      </c>
      <c r="T126" s="7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396" t="s">
        <v>243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/>
      <c r="J127" s="26"/>
      <c r="K127" s="7"/>
      <c r="L127" s="39">
        <v>0</v>
      </c>
      <c r="M127" s="26"/>
      <c r="N127" s="39">
        <f t="shared" si="27"/>
        <v>0</v>
      </c>
      <c r="O127" s="26"/>
      <c r="P127" s="7"/>
      <c r="Q127" s="39">
        <v>0</v>
      </c>
      <c r="R127" s="26"/>
      <c r="S127" s="39">
        <f t="shared" si="28"/>
        <v>0</v>
      </c>
      <c r="T127" s="7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396" t="s">
        <v>238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/>
      <c r="J128" s="26"/>
      <c r="K128" s="7"/>
      <c r="L128" s="39">
        <v>0</v>
      </c>
      <c r="M128" s="26"/>
      <c r="N128" s="39">
        <f t="shared" si="27"/>
        <v>0</v>
      </c>
      <c r="O128" s="26"/>
      <c r="P128" s="7"/>
      <c r="Q128" s="39">
        <v>0</v>
      </c>
      <c r="R128" s="26"/>
      <c r="S128" s="39">
        <f t="shared" si="28"/>
        <v>0</v>
      </c>
      <c r="T128" s="7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396" t="s">
        <v>238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/>
      <c r="J129" s="26"/>
      <c r="K129" s="7"/>
      <c r="L129" s="39">
        <v>0</v>
      </c>
      <c r="M129" s="26"/>
      <c r="N129" s="39">
        <f t="shared" si="27"/>
        <v>0</v>
      </c>
      <c r="O129" s="26"/>
      <c r="P129" s="7"/>
      <c r="Q129" s="39">
        <v>0</v>
      </c>
      <c r="R129" s="26"/>
      <c r="S129" s="39">
        <f t="shared" si="28"/>
        <v>0</v>
      </c>
      <c r="T129" s="7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396" t="s">
        <v>238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/>
      <c r="J130" s="26"/>
      <c r="K130" s="7"/>
      <c r="L130" s="39">
        <v>0</v>
      </c>
      <c r="M130" s="26"/>
      <c r="N130" s="39">
        <f t="shared" si="27"/>
        <v>0</v>
      </c>
      <c r="O130" s="26"/>
      <c r="P130" s="7"/>
      <c r="Q130" s="39">
        <v>0</v>
      </c>
      <c r="R130" s="26"/>
      <c r="S130" s="39">
        <f t="shared" si="28"/>
        <v>0</v>
      </c>
      <c r="T130" s="7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396" t="s">
        <v>244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/>
      <c r="J131" s="26"/>
      <c r="K131" s="7"/>
      <c r="L131" s="39">
        <v>3522.3000000000029</v>
      </c>
      <c r="M131" s="26"/>
      <c r="N131" s="39">
        <f t="shared" si="27"/>
        <v>3522.3000000000029</v>
      </c>
      <c r="O131" s="26"/>
      <c r="P131" s="7"/>
      <c r="Q131" s="39">
        <v>1766.2999999999993</v>
      </c>
      <c r="R131" s="26"/>
      <c r="S131" s="39">
        <f t="shared" si="28"/>
        <v>1756.0000000000036</v>
      </c>
      <c r="T131" s="7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396" t="s">
        <v>245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/>
      <c r="J132" s="71"/>
      <c r="K132" s="69"/>
      <c r="L132" s="72">
        <v>5319.75</v>
      </c>
      <c r="M132" s="71"/>
      <c r="N132" s="72">
        <f t="shared" si="27"/>
        <v>5319.75</v>
      </c>
      <c r="O132" s="71"/>
      <c r="P132" s="69"/>
      <c r="Q132" s="72">
        <v>3329.0599999999995</v>
      </c>
      <c r="R132" s="71"/>
      <c r="S132" s="72">
        <f t="shared" si="28"/>
        <v>1990.6900000000005</v>
      </c>
      <c r="T132" s="7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396" t="s">
        <v>246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/>
      <c r="J133" s="26"/>
      <c r="K133" s="7"/>
      <c r="L133" s="39">
        <v>656.61000000000058</v>
      </c>
      <c r="M133" s="26"/>
      <c r="N133" s="39">
        <f t="shared" si="27"/>
        <v>656.61000000000058</v>
      </c>
      <c r="O133" s="26"/>
      <c r="P133" s="7"/>
      <c r="Q133" s="39">
        <v>1059.3500000000004</v>
      </c>
      <c r="R133" s="26"/>
      <c r="S133" s="39">
        <f t="shared" si="28"/>
        <v>-402.73999999999978</v>
      </c>
      <c r="T133" s="7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396" t="s">
        <v>247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/>
      <c r="J134" s="26"/>
      <c r="K134" s="7"/>
      <c r="L134" s="39">
        <v>1711.9899999999998</v>
      </c>
      <c r="M134" s="26"/>
      <c r="N134" s="39">
        <f t="shared" si="27"/>
        <v>1711.9899999999998</v>
      </c>
      <c r="O134" s="26"/>
      <c r="P134" s="7"/>
      <c r="Q134" s="39">
        <v>28.629999999999995</v>
      </c>
      <c r="R134" s="26"/>
      <c r="S134" s="39">
        <f t="shared" si="28"/>
        <v>1683.3599999999997</v>
      </c>
      <c r="T134" s="7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396" t="s">
        <v>238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/>
      <c r="J135" s="14"/>
      <c r="K135" s="73"/>
      <c r="L135" s="39">
        <v>0</v>
      </c>
      <c r="M135" s="14"/>
      <c r="N135" s="61">
        <f t="shared" si="27"/>
        <v>0</v>
      </c>
      <c r="O135" s="14"/>
      <c r="P135" s="73"/>
      <c r="Q135" s="39">
        <v>0</v>
      </c>
      <c r="R135" s="14"/>
      <c r="S135" s="61">
        <f t="shared" si="28"/>
        <v>0</v>
      </c>
      <c r="T135" s="7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396" t="s">
        <v>248</v>
      </c>
      <c r="B136" s="7" t="s">
        <v>70</v>
      </c>
      <c r="C136" s="139" t="s">
        <v>48</v>
      </c>
      <c r="D136" s="62" t="s">
        <v>38</v>
      </c>
      <c r="E136" s="63" t="e">
        <f>F136/F$109</f>
        <v>#DIV/0!</v>
      </c>
      <c r="F136" s="64">
        <f>+SUM(F124:F135)</f>
        <v>0</v>
      </c>
      <c r="G136" s="65"/>
      <c r="H136" s="63"/>
      <c r="I136" s="64"/>
      <c r="J136" s="65" t="s">
        <v>38</v>
      </c>
      <c r="K136" s="63">
        <f>L136/L$109</f>
        <v>0.56789363049843</v>
      </c>
      <c r="L136" s="64">
        <f>SUM(L124:L135)</f>
        <v>30509.330000000009</v>
      </c>
      <c r="M136" s="66"/>
      <c r="N136" s="64">
        <f t="shared" si="27"/>
        <v>30509.330000000009</v>
      </c>
      <c r="O136" s="65" t="s">
        <v>38</v>
      </c>
      <c r="P136" s="63">
        <f>Q136/Q$109</f>
        <v>0.47924204465282072</v>
      </c>
      <c r="Q136" s="64">
        <f>SUM(Q124:Q135)</f>
        <v>29636.860000000004</v>
      </c>
      <c r="R136" s="67"/>
      <c r="S136" s="64">
        <f t="shared" si="28"/>
        <v>872.4700000000048</v>
      </c>
      <c r="T136" s="7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396" t="s">
        <v>249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/>
      <c r="J137" s="26"/>
      <c r="K137" s="7"/>
      <c r="L137" s="39">
        <v>0</v>
      </c>
      <c r="M137" s="26"/>
      <c r="N137" s="39">
        <f t="shared" si="27"/>
        <v>0</v>
      </c>
      <c r="O137" s="26"/>
      <c r="P137" s="7"/>
      <c r="Q137" s="39">
        <v>0</v>
      </c>
      <c r="R137" s="26"/>
      <c r="S137" s="39">
        <f t="shared" si="28"/>
        <v>0</v>
      </c>
      <c r="T137" s="7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396" t="s">
        <v>250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/>
      <c r="J138" s="26"/>
      <c r="K138" s="7"/>
      <c r="L138" s="39">
        <v>0</v>
      </c>
      <c r="M138" s="26"/>
      <c r="N138" s="39">
        <f t="shared" si="27"/>
        <v>0</v>
      </c>
      <c r="O138" s="26"/>
      <c r="P138" s="7"/>
      <c r="Q138" s="39">
        <v>0</v>
      </c>
      <c r="R138" s="26"/>
      <c r="S138" s="39">
        <f t="shared" si="28"/>
        <v>0</v>
      </c>
      <c r="T138" s="7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396" t="s">
        <v>251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/>
      <c r="J139" s="14"/>
      <c r="K139" s="73"/>
      <c r="L139" s="61">
        <v>3111.5799999999981</v>
      </c>
      <c r="M139" s="14"/>
      <c r="N139" s="61">
        <f t="shared" si="27"/>
        <v>3111.5799999999981</v>
      </c>
      <c r="O139" s="14"/>
      <c r="P139" s="73"/>
      <c r="Q139" s="61">
        <v>2757.26</v>
      </c>
      <c r="R139" s="14"/>
      <c r="S139" s="61">
        <f t="shared" si="28"/>
        <v>354.31999999999789</v>
      </c>
      <c r="T139" s="7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396" t="s">
        <v>252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/>
      <c r="J140" s="26"/>
      <c r="K140" s="7"/>
      <c r="L140" s="39">
        <v>1836.9099999999999</v>
      </c>
      <c r="M140" s="26"/>
      <c r="N140" s="39">
        <f t="shared" si="27"/>
        <v>1836.9099999999999</v>
      </c>
      <c r="O140" s="26"/>
      <c r="P140" s="7"/>
      <c r="Q140" s="39">
        <v>2128.0300000000007</v>
      </c>
      <c r="R140" s="26"/>
      <c r="S140" s="39">
        <f t="shared" si="28"/>
        <v>-291.1200000000008</v>
      </c>
      <c r="T140" s="7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396" t="s">
        <v>253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/>
      <c r="J141" s="26"/>
      <c r="K141" s="7"/>
      <c r="L141" s="39">
        <v>370.02000000000044</v>
      </c>
      <c r="M141" s="26"/>
      <c r="N141" s="39">
        <f t="shared" si="27"/>
        <v>370.02000000000044</v>
      </c>
      <c r="O141" s="26"/>
      <c r="P141" s="7"/>
      <c r="Q141" s="39">
        <v>1010.7400000000016</v>
      </c>
      <c r="R141" s="26"/>
      <c r="S141" s="39">
        <f t="shared" si="28"/>
        <v>-640.72000000000116</v>
      </c>
      <c r="T141" s="93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396" t="s">
        <v>254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/>
      <c r="J142" s="14"/>
      <c r="K142" s="73"/>
      <c r="L142" s="61">
        <v>2795.2700000000004</v>
      </c>
      <c r="M142" s="14"/>
      <c r="N142" s="61">
        <f t="shared" si="27"/>
        <v>2795.2700000000004</v>
      </c>
      <c r="O142" s="14"/>
      <c r="P142" s="73"/>
      <c r="Q142" s="61">
        <v>4785.9400000000005</v>
      </c>
      <c r="R142" s="14"/>
      <c r="S142" s="61">
        <f t="shared" si="28"/>
        <v>-1990.67</v>
      </c>
      <c r="T142" s="7"/>
      <c r="U142" s="9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396" t="s">
        <v>255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/>
      <c r="J143" s="26"/>
      <c r="K143" s="7"/>
      <c r="L143" s="39">
        <v>149.59999999999991</v>
      </c>
      <c r="M143" s="26"/>
      <c r="N143" s="39">
        <f t="shared" si="27"/>
        <v>149.59999999999991</v>
      </c>
      <c r="O143" s="26"/>
      <c r="P143" s="7"/>
      <c r="Q143" s="39">
        <v>67.150000000000091</v>
      </c>
      <c r="R143" s="26"/>
      <c r="S143" s="39">
        <f t="shared" si="28"/>
        <v>82.449999999999818</v>
      </c>
      <c r="T143" s="7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396" t="s">
        <v>256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/>
      <c r="J144" s="26"/>
      <c r="K144" s="7"/>
      <c r="L144" s="39">
        <v>0</v>
      </c>
      <c r="M144" s="26"/>
      <c r="N144" s="39">
        <f t="shared" si="27"/>
        <v>0</v>
      </c>
      <c r="O144" s="26"/>
      <c r="P144" s="7"/>
      <c r="Q144" s="39">
        <v>0</v>
      </c>
      <c r="R144" s="26"/>
      <c r="S144" s="39">
        <f t="shared" si="28"/>
        <v>0</v>
      </c>
      <c r="T144" s="7"/>
      <c r="U144" s="9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396" t="s">
        <v>257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/>
      <c r="J145" s="26"/>
      <c r="K145" s="7"/>
      <c r="L145" s="39">
        <v>202.94999999999982</v>
      </c>
      <c r="M145" s="26"/>
      <c r="N145" s="39">
        <f t="shared" si="27"/>
        <v>202.94999999999982</v>
      </c>
      <c r="O145" s="26"/>
      <c r="P145" s="7"/>
      <c r="Q145" s="39">
        <v>362.8799999999992</v>
      </c>
      <c r="R145" s="26"/>
      <c r="S145" s="39">
        <f t="shared" si="28"/>
        <v>-159.92999999999938</v>
      </c>
      <c r="T145" s="7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396" t="s">
        <v>258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/>
      <c r="J146" s="26"/>
      <c r="K146" s="7"/>
      <c r="L146" s="39">
        <v>420.18000000000029</v>
      </c>
      <c r="M146" s="26"/>
      <c r="N146" s="39">
        <f t="shared" si="27"/>
        <v>420.18000000000029</v>
      </c>
      <c r="O146" s="26"/>
      <c r="P146" s="7"/>
      <c r="Q146" s="39">
        <v>685.85000000000036</v>
      </c>
      <c r="R146" s="26"/>
      <c r="S146" s="39">
        <f t="shared" si="28"/>
        <v>-265.67000000000007</v>
      </c>
      <c r="T146" s="7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396" t="s">
        <v>259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/>
      <c r="J147" s="26"/>
      <c r="K147" s="7"/>
      <c r="L147" s="39">
        <v>995.72000000000116</v>
      </c>
      <c r="M147" s="26"/>
      <c r="N147" s="39">
        <f t="shared" si="27"/>
        <v>995.72000000000116</v>
      </c>
      <c r="O147" s="26"/>
      <c r="P147" s="7"/>
      <c r="Q147" s="39">
        <v>1077.96</v>
      </c>
      <c r="R147" s="26"/>
      <c r="S147" s="39">
        <f t="shared" si="28"/>
        <v>-82.239999999998872</v>
      </c>
      <c r="T147" s="7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396" t="s">
        <v>260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/>
      <c r="J148" s="26"/>
      <c r="K148" s="7"/>
      <c r="L148" s="39">
        <v>1430.0499999999993</v>
      </c>
      <c r="M148" s="26"/>
      <c r="N148" s="39">
        <f t="shared" si="27"/>
        <v>1430.0499999999993</v>
      </c>
      <c r="O148" s="26"/>
      <c r="P148" s="7"/>
      <c r="Q148" s="39">
        <v>1993.2299999999996</v>
      </c>
      <c r="R148" s="26"/>
      <c r="S148" s="39">
        <f t="shared" si="28"/>
        <v>-563.18000000000029</v>
      </c>
      <c r="T148" s="7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396" t="s">
        <v>261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/>
      <c r="J149" s="26"/>
      <c r="K149" s="7"/>
      <c r="L149" s="39">
        <v>0</v>
      </c>
      <c r="M149" s="26"/>
      <c r="N149" s="39">
        <f t="shared" si="27"/>
        <v>0</v>
      </c>
      <c r="O149" s="26"/>
      <c r="P149" s="7"/>
      <c r="Q149" s="39">
        <v>0</v>
      </c>
      <c r="R149" s="26"/>
      <c r="S149" s="39">
        <f t="shared" si="28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396" t="s">
        <v>262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/>
      <c r="J150" s="26"/>
      <c r="K150" s="7"/>
      <c r="L150" s="39">
        <v>1132.0200000000004</v>
      </c>
      <c r="M150" s="26"/>
      <c r="N150" s="39">
        <f t="shared" si="27"/>
        <v>1132.0200000000004</v>
      </c>
      <c r="O150" s="26"/>
      <c r="P150" s="7"/>
      <c r="Q150" s="39">
        <v>266.81000000000017</v>
      </c>
      <c r="R150" s="26"/>
      <c r="S150" s="39">
        <f t="shared" si="28"/>
        <v>865.21000000000026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396" t="s">
        <v>238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/>
      <c r="J151" s="26"/>
      <c r="K151" s="7"/>
      <c r="L151" s="39">
        <v>0</v>
      </c>
      <c r="M151" s="26"/>
      <c r="N151" s="39">
        <f t="shared" si="27"/>
        <v>0</v>
      </c>
      <c r="O151" s="26"/>
      <c r="P151" s="7"/>
      <c r="Q151" s="39">
        <v>0</v>
      </c>
      <c r="R151" s="26"/>
      <c r="S151" s="39">
        <f t="shared" si="28"/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396" t="s">
        <v>238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/>
      <c r="J152" s="26"/>
      <c r="K152" s="7"/>
      <c r="L152" s="39">
        <v>0</v>
      </c>
      <c r="M152" s="26"/>
      <c r="N152" s="39">
        <f t="shared" si="27"/>
        <v>0</v>
      </c>
      <c r="O152" s="26"/>
      <c r="P152" s="7"/>
      <c r="Q152" s="39">
        <v>0</v>
      </c>
      <c r="R152" s="26"/>
      <c r="S152" s="39">
        <f t="shared" si="28"/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396" t="s">
        <v>238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/>
      <c r="J153" s="26"/>
      <c r="K153" s="7"/>
      <c r="L153" s="39">
        <v>0</v>
      </c>
      <c r="M153" s="26"/>
      <c r="N153" s="39">
        <f t="shared" si="27"/>
        <v>0</v>
      </c>
      <c r="O153" s="26"/>
      <c r="P153" s="7"/>
      <c r="Q153" s="39">
        <v>0</v>
      </c>
      <c r="R153" s="26"/>
      <c r="S153" s="39">
        <f t="shared" si="28"/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396" t="s">
        <v>263</v>
      </c>
      <c r="B154" s="7" t="s">
        <v>70</v>
      </c>
      <c r="C154" s="139" t="s">
        <v>63</v>
      </c>
      <c r="D154" s="62" t="s">
        <v>38</v>
      </c>
      <c r="E154" s="63" t="e">
        <f>F154/F$109</f>
        <v>#DIV/0!</v>
      </c>
      <c r="F154" s="64">
        <f>+SUM(F137:F153)</f>
        <v>0</v>
      </c>
      <c r="G154" s="65"/>
      <c r="H154" s="63"/>
      <c r="I154" s="64"/>
      <c r="J154" s="65" t="s">
        <v>38</v>
      </c>
      <c r="K154" s="63">
        <f>L154/L$109</f>
        <v>0.23163532945533744</v>
      </c>
      <c r="L154" s="64">
        <f>+SUM(L137:L153)</f>
        <v>12444.3</v>
      </c>
      <c r="M154" s="66"/>
      <c r="N154" s="64">
        <f t="shared" si="27"/>
        <v>12444.3</v>
      </c>
      <c r="O154" s="65" t="s">
        <v>38</v>
      </c>
      <c r="P154" s="63">
        <f>Q154/Q$109</f>
        <v>0.24475385386840562</v>
      </c>
      <c r="Q154" s="64">
        <f>+SUM(Q137:Q153)</f>
        <v>15135.85</v>
      </c>
      <c r="R154" s="67"/>
      <c r="S154" s="64">
        <f t="shared" si="28"/>
        <v>-2691.5500000000011</v>
      </c>
      <c r="T154" s="7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396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396" t="s">
        <v>264</v>
      </c>
      <c r="B156" s="7" t="s">
        <v>70</v>
      </c>
      <c r="C156" s="139" t="s">
        <v>64</v>
      </c>
      <c r="D156" s="62" t="s">
        <v>38</v>
      </c>
      <c r="E156" s="63" t="e">
        <f>F156/F$109</f>
        <v>#DIV/0!</v>
      </c>
      <c r="F156" s="64">
        <f>F123+F136+F154</f>
        <v>0</v>
      </c>
      <c r="G156" s="65"/>
      <c r="H156" s="63"/>
      <c r="I156" s="64"/>
      <c r="J156" s="65" t="s">
        <v>38</v>
      </c>
      <c r="K156" s="63">
        <f>L156/L$109</f>
        <v>1.2588266959423859</v>
      </c>
      <c r="L156" s="64">
        <f>L123+L136+L154</f>
        <v>67628.790000000008</v>
      </c>
      <c r="M156" s="66"/>
      <c r="N156" s="64">
        <f t="shared" ref="N156:N163" si="29">L156-F156</f>
        <v>67628.790000000008</v>
      </c>
      <c r="O156" s="65" t="s">
        <v>38</v>
      </c>
      <c r="P156" s="63">
        <f>Q156/Q$109</f>
        <v>1.3048206929015336</v>
      </c>
      <c r="Q156" s="64">
        <f>Q123+Q136+Q154</f>
        <v>80691.559999999983</v>
      </c>
      <c r="R156" s="67"/>
      <c r="S156" s="64">
        <f t="shared" si="28"/>
        <v>-13062.769999999975</v>
      </c>
      <c r="T156" s="7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396" t="s">
        <v>265</v>
      </c>
      <c r="B157" s="7" t="s">
        <v>70</v>
      </c>
      <c r="C157" s="300" t="s">
        <v>266</v>
      </c>
      <c r="D157" s="94"/>
      <c r="E157" s="95"/>
      <c r="F157" s="19">
        <v>0</v>
      </c>
      <c r="G157" s="96"/>
      <c r="H157" s="95"/>
      <c r="I157" s="19"/>
      <c r="J157" s="96"/>
      <c r="K157" s="95"/>
      <c r="L157" s="39">
        <v>0</v>
      </c>
      <c r="M157" s="26"/>
      <c r="N157" s="39">
        <f t="shared" si="29"/>
        <v>0</v>
      </c>
      <c r="O157" s="96"/>
      <c r="P157" s="95"/>
      <c r="Q157" s="39">
        <v>0</v>
      </c>
      <c r="R157" s="26"/>
      <c r="S157" s="39">
        <f t="shared" si="28"/>
        <v>0</v>
      </c>
      <c r="T157" s="74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396" t="s">
        <v>267</v>
      </c>
      <c r="B158" s="7" t="s">
        <v>70</v>
      </c>
      <c r="C158" s="300" t="s">
        <v>268</v>
      </c>
      <c r="D158" s="94"/>
      <c r="E158" s="95"/>
      <c r="F158" s="19">
        <v>0</v>
      </c>
      <c r="G158" s="96"/>
      <c r="H158" s="95"/>
      <c r="I158" s="19"/>
      <c r="J158" s="96"/>
      <c r="K158" s="95"/>
      <c r="L158" s="39">
        <v>0</v>
      </c>
      <c r="M158" s="26"/>
      <c r="N158" s="39">
        <f t="shared" si="29"/>
        <v>0</v>
      </c>
      <c r="O158" s="96"/>
      <c r="P158" s="95"/>
      <c r="Q158" s="39">
        <v>0</v>
      </c>
      <c r="R158" s="26"/>
      <c r="S158" s="39">
        <f t="shared" si="28"/>
        <v>0</v>
      </c>
      <c r="T158" s="74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396" t="s">
        <v>269</v>
      </c>
      <c r="B159" s="7" t="s">
        <v>70</v>
      </c>
      <c r="C159" s="300" t="s">
        <v>77</v>
      </c>
      <c r="D159" s="54"/>
      <c r="E159" s="7"/>
      <c r="F159" s="19">
        <v>0</v>
      </c>
      <c r="G159" s="56"/>
      <c r="H159" s="7"/>
      <c r="I159" s="19"/>
      <c r="J159" s="26"/>
      <c r="K159" s="7"/>
      <c r="L159" s="39">
        <v>0</v>
      </c>
      <c r="M159" s="26"/>
      <c r="N159" s="39">
        <f t="shared" si="29"/>
        <v>0</v>
      </c>
      <c r="O159" s="26"/>
      <c r="P159" s="7"/>
      <c r="Q159" s="39">
        <v>0</v>
      </c>
      <c r="R159" s="26"/>
      <c r="S159" s="39">
        <f t="shared" si="28"/>
        <v>0</v>
      </c>
      <c r="T159" s="74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396" t="s">
        <v>270</v>
      </c>
      <c r="B160" s="7" t="s">
        <v>70</v>
      </c>
      <c r="C160" s="26" t="s">
        <v>67</v>
      </c>
      <c r="D160" s="311" t="e">
        <f>E160/474</f>
        <v>#DIV/0!</v>
      </c>
      <c r="E160" s="274" t="e">
        <f>F160/D97</f>
        <v>#DIV/0!</v>
      </c>
      <c r="F160" s="19">
        <v>0</v>
      </c>
      <c r="G160" s="56"/>
      <c r="H160" s="7"/>
      <c r="I160" s="19"/>
      <c r="J160" s="275">
        <f>K160/500</f>
        <v>0.73913043478260876</v>
      </c>
      <c r="K160" s="274">
        <f>L160/J97</f>
        <v>369.56521739130437</v>
      </c>
      <c r="L160" s="39">
        <v>8500</v>
      </c>
      <c r="M160" s="26"/>
      <c r="N160" s="39">
        <f t="shared" si="29"/>
        <v>8500</v>
      </c>
      <c r="O160" s="275">
        <f>P160/500</f>
        <v>0</v>
      </c>
      <c r="P160" s="274">
        <f>Q160/O97</f>
        <v>0</v>
      </c>
      <c r="Q160" s="39">
        <v>0</v>
      </c>
      <c r="R160" s="26"/>
      <c r="S160" s="39">
        <f t="shared" si="28"/>
        <v>8500</v>
      </c>
      <c r="T160" s="74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396" t="s">
        <v>238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/>
      <c r="J161" s="26"/>
      <c r="K161" s="7"/>
      <c r="L161" s="39">
        <v>0</v>
      </c>
      <c r="M161" s="26"/>
      <c r="N161" s="39">
        <f t="shared" si="29"/>
        <v>0</v>
      </c>
      <c r="O161" s="26"/>
      <c r="P161" s="7"/>
      <c r="Q161" s="39">
        <v>0</v>
      </c>
      <c r="R161" s="26"/>
      <c r="S161" s="39">
        <f t="shared" si="28"/>
        <v>0</v>
      </c>
      <c r="T161" s="74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396" t="s">
        <v>238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/>
      <c r="J162" s="26"/>
      <c r="K162" s="7"/>
      <c r="L162" s="39">
        <v>0</v>
      </c>
      <c r="M162" s="26"/>
      <c r="N162" s="39">
        <f t="shared" si="29"/>
        <v>0</v>
      </c>
      <c r="O162" s="26"/>
      <c r="P162" s="7"/>
      <c r="Q162" s="39">
        <v>0</v>
      </c>
      <c r="R162" s="26"/>
      <c r="S162" s="39">
        <f t="shared" si="28"/>
        <v>0</v>
      </c>
      <c r="T162" s="74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396" t="s">
        <v>238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/>
      <c r="J163" s="26"/>
      <c r="K163" s="7"/>
      <c r="L163" s="39">
        <v>0</v>
      </c>
      <c r="M163" s="26"/>
      <c r="N163" s="39">
        <f t="shared" si="29"/>
        <v>0</v>
      </c>
      <c r="O163" s="26"/>
      <c r="P163" s="7"/>
      <c r="Q163" s="39">
        <v>0</v>
      </c>
      <c r="R163" s="26"/>
      <c r="S163" s="39">
        <f t="shared" si="28"/>
        <v>0</v>
      </c>
      <c r="T163" s="74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396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/>
      <c r="J164" s="65"/>
      <c r="K164" s="63"/>
      <c r="L164" s="64">
        <f>+SUM(L157:L163)</f>
        <v>8500</v>
      </c>
      <c r="M164" s="66"/>
      <c r="N164" s="64">
        <f>SUM(N157:N160)</f>
        <v>8500</v>
      </c>
      <c r="O164" s="65"/>
      <c r="P164" s="63"/>
      <c r="Q164" s="64">
        <f>+SUM(Q157:Q163)</f>
        <v>0</v>
      </c>
      <c r="R164" s="67"/>
      <c r="S164" s="64">
        <f t="shared" si="28"/>
        <v>8500</v>
      </c>
      <c r="T164" s="7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396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/>
      <c r="J166" s="279"/>
      <c r="K166" s="278"/>
      <c r="L166" s="138">
        <f>L109-L156+L164</f>
        <v>-5405.1199999992677</v>
      </c>
      <c r="M166" s="280"/>
      <c r="N166" s="138">
        <f>L166-F166</f>
        <v>-5405.1199999992677</v>
      </c>
      <c r="O166" s="279"/>
      <c r="P166" s="278"/>
      <c r="Q166" s="138">
        <f>Q109-Q156+Q164</f>
        <v>-18850.449999999968</v>
      </c>
      <c r="R166" s="281"/>
      <c r="S166" s="138">
        <f t="shared" si="28"/>
        <v>13445.3300000007</v>
      </c>
      <c r="T166" s="7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219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Réalisé, Juillet 2026</v>
      </c>
      <c r="T169" s="2"/>
      <c r="U169" s="381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426" t="s">
        <v>5</v>
      </c>
      <c r="E171" s="426"/>
      <c r="F171" s="428"/>
      <c r="G171" s="424"/>
      <c r="H171" s="426"/>
      <c r="I171" s="428"/>
      <c r="J171" s="424" t="s">
        <v>7</v>
      </c>
      <c r="K171" s="426"/>
      <c r="L171" s="428"/>
      <c r="M171" s="424" t="s">
        <v>210</v>
      </c>
      <c r="N171" s="428"/>
      <c r="O171" s="424" t="s">
        <v>8</v>
      </c>
      <c r="P171" s="426"/>
      <c r="Q171" s="428"/>
      <c r="R171" s="424" t="s">
        <v>211</v>
      </c>
      <c r="S171" s="428"/>
      <c r="T171" s="7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220</v>
      </c>
      <c r="K172" s="9" t="s">
        <v>13</v>
      </c>
      <c r="L172" s="10" t="s">
        <v>12</v>
      </c>
      <c r="M172" s="11" t="s">
        <v>220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220</v>
      </c>
      <c r="S172" s="10" t="s">
        <v>12</v>
      </c>
      <c r="T172" s="7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396" t="s">
        <v>221</v>
      </c>
      <c r="B173" s="7" t="s">
        <v>222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4632656.8400000036</v>
      </c>
      <c r="M173" s="86"/>
      <c r="N173" s="87"/>
      <c r="O173" s="14"/>
      <c r="P173" s="58"/>
      <c r="Q173" s="61">
        <v>4149870.7699999996</v>
      </c>
      <c r="R173" s="86"/>
      <c r="S173" s="87"/>
      <c r="T173" s="6"/>
      <c r="U173" s="397"/>
      <c r="V173" s="398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396"/>
      <c r="B174" s="7" t="s">
        <v>222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6"/>
      <c r="U174" s="397"/>
      <c r="V174" s="398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396" t="s">
        <v>223</v>
      </c>
      <c r="B175" s="7" t="s">
        <v>222</v>
      </c>
      <c r="C175" s="26" t="s">
        <v>224</v>
      </c>
      <c r="D175" s="19">
        <v>0</v>
      </c>
      <c r="E175" s="19">
        <f>IF(D175=0,0,F175/D175)</f>
        <v>0</v>
      </c>
      <c r="F175" s="19">
        <v>0</v>
      </c>
      <c r="G175" s="20"/>
      <c r="H175" s="19"/>
      <c r="I175" s="19"/>
      <c r="J175" s="20">
        <v>45</v>
      </c>
      <c r="K175" s="55">
        <f t="shared" ref="K175:K179" si="30">IF(J175=0,0,L175/J175)</f>
        <v>-853.93644444437496</v>
      </c>
      <c r="L175" s="39">
        <v>-38427.139999996871</v>
      </c>
      <c r="M175" s="20">
        <f>J175-D175</f>
        <v>45</v>
      </c>
      <c r="N175" s="21">
        <f>L175-F175</f>
        <v>-38427.139999996871</v>
      </c>
      <c r="O175" s="20">
        <v>60</v>
      </c>
      <c r="P175" s="55">
        <f t="shared" ref="P175:P179" si="31">IF(O175=0,0,Q175/O175)</f>
        <v>381.76683333330635</v>
      </c>
      <c r="Q175" s="39">
        <v>22906.009999998379</v>
      </c>
      <c r="R175" s="20">
        <f t="shared" ref="R175:R177" si="32">J175-O175</f>
        <v>-15</v>
      </c>
      <c r="S175" s="39">
        <f t="shared" ref="S175:S177" si="33">L175-Q175</f>
        <v>-61333.14999999525</v>
      </c>
      <c r="T175" s="6">
        <v>45</v>
      </c>
      <c r="U175" s="399">
        <v>-38427.120000000003</v>
      </c>
      <c r="V175" s="398">
        <f>L175-U175</f>
        <v>-1.9999996868136805E-2</v>
      </c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396"/>
      <c r="B176" s="7" t="s">
        <v>222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>
        <f>R175/O175</f>
        <v>-0.25</v>
      </c>
      <c r="S176" s="108">
        <f>IF(Q175=0,0,(S175/Q175))</f>
        <v>-2.6776007694050423</v>
      </c>
      <c r="T176" s="6"/>
      <c r="U176" s="397"/>
      <c r="V176" s="398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396" t="s">
        <v>225</v>
      </c>
      <c r="B177" s="7" t="s">
        <v>222</v>
      </c>
      <c r="C177" s="26" t="s">
        <v>226</v>
      </c>
      <c r="D177" s="19">
        <v>0</v>
      </c>
      <c r="E177" s="19">
        <f t="shared" ref="E177:E179" si="34">IF(D177=0,0,F177/D177)</f>
        <v>0</v>
      </c>
      <c r="F177" s="19">
        <v>0</v>
      </c>
      <c r="G177" s="20"/>
      <c r="H177" s="19"/>
      <c r="I177" s="19"/>
      <c r="J177" s="20">
        <v>21</v>
      </c>
      <c r="K177" s="55">
        <f t="shared" si="30"/>
        <v>466.92571428573382</v>
      </c>
      <c r="L177" s="39">
        <v>9805.4400000004098</v>
      </c>
      <c r="M177" s="20">
        <f>J177-D177</f>
        <v>21</v>
      </c>
      <c r="N177" s="21">
        <f>L177-F177</f>
        <v>9805.4400000004098</v>
      </c>
      <c r="O177" s="20">
        <v>0</v>
      </c>
      <c r="P177" s="55">
        <f t="shared" si="31"/>
        <v>0</v>
      </c>
      <c r="Q177" s="39">
        <v>0</v>
      </c>
      <c r="R177" s="20">
        <f t="shared" si="32"/>
        <v>21</v>
      </c>
      <c r="S177" s="39">
        <f t="shared" si="33"/>
        <v>9805.4400000004098</v>
      </c>
      <c r="T177" s="6">
        <v>20</v>
      </c>
      <c r="U177" s="397">
        <v>9805.44</v>
      </c>
      <c r="V177" s="398">
        <f>L177-U177</f>
        <v>4.0927261579781771E-10</v>
      </c>
      <c r="W177" s="7"/>
      <c r="X177" s="7"/>
      <c r="Y177" s="7"/>
      <c r="Z177" s="7"/>
      <c r="AA177" s="7"/>
      <c r="AB177" s="7"/>
      <c r="AC177" s="7"/>
      <c r="AD177" s="403" t="s">
        <v>506</v>
      </c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396"/>
      <c r="B178" s="7" t="s">
        <v>222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397"/>
      <c r="V178" s="400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396" t="str">
        <f>B179&amp;C179</f>
        <v>Wholesale autresWholesale Luxueux</v>
      </c>
      <c r="B179" s="7" t="s">
        <v>222</v>
      </c>
      <c r="C179" s="26" t="s">
        <v>227</v>
      </c>
      <c r="D179" s="19" t="e">
        <v>#N/A</v>
      </c>
      <c r="E179" s="19" t="e">
        <f t="shared" si="34"/>
        <v>#N/A</v>
      </c>
      <c r="F179" s="19" t="e">
        <v>#N/A</v>
      </c>
      <c r="G179" s="20"/>
      <c r="H179" s="19"/>
      <c r="I179" s="19"/>
      <c r="J179" s="20">
        <v>11</v>
      </c>
      <c r="K179" s="55">
        <f t="shared" si="30"/>
        <v>2600</v>
      </c>
      <c r="L179" s="39">
        <v>28600</v>
      </c>
      <c r="M179" s="20" t="e">
        <f>J179-D179</f>
        <v>#N/A</v>
      </c>
      <c r="N179" s="21" t="e">
        <f>L179-F179</f>
        <v>#N/A</v>
      </c>
      <c r="O179" s="20">
        <v>11</v>
      </c>
      <c r="P179" s="55">
        <f t="shared" si="31"/>
        <v>4706.363636363636</v>
      </c>
      <c r="Q179" s="39">
        <v>51770</v>
      </c>
      <c r="R179" s="20">
        <f>J179-O179</f>
        <v>0</v>
      </c>
      <c r="S179" s="39">
        <f>L179-Q179</f>
        <v>-23170</v>
      </c>
      <c r="T179" s="7">
        <v>11</v>
      </c>
      <c r="U179" s="399">
        <v>28600</v>
      </c>
      <c r="V179" s="398">
        <f>L179-U179</f>
        <v>0</v>
      </c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396" t="s">
        <v>70</v>
      </c>
      <c r="B180" s="7" t="s">
        <v>222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>
        <f>R179/O179</f>
        <v>0</v>
      </c>
      <c r="S180" s="100">
        <f>IF(Q179=0,0,(S179/Q179))</f>
        <v>-0.44755649990341895</v>
      </c>
      <c r="T180" s="7"/>
      <c r="U180" s="397"/>
      <c r="V180" s="400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396" t="s">
        <v>70</v>
      </c>
      <c r="B181" s="7" t="s">
        <v>222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397"/>
      <c r="V181" s="400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396" t="s">
        <v>228</v>
      </c>
      <c r="B182" s="7" t="s">
        <v>222</v>
      </c>
      <c r="C182" s="264" t="s">
        <v>229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77</v>
      </c>
      <c r="K182" s="41">
        <f>IF(J182&lt;=0,0,L182/J182)</f>
        <v>-0.28181818177222046</v>
      </c>
      <c r="L182" s="43">
        <f>L175+L179+L177</f>
        <v>-21.699999996460974</v>
      </c>
      <c r="M182" s="44" t="e">
        <f>J182-D182</f>
        <v>#N/A</v>
      </c>
      <c r="N182" s="43" t="e">
        <f>L182-F182</f>
        <v>#REF!</v>
      </c>
      <c r="O182" s="44">
        <f>O175+O177+O179</f>
        <v>71</v>
      </c>
      <c r="P182" s="41">
        <f>IF(O182&lt;=0,0,Q182/O182)</f>
        <v>1051.7747887323715</v>
      </c>
      <c r="Q182" s="43">
        <f>Q175+Q179+Q177</f>
        <v>74676.009999998379</v>
      </c>
      <c r="R182" s="44">
        <f>J182-O182</f>
        <v>6</v>
      </c>
      <c r="S182" s="43">
        <f>L182-Q182</f>
        <v>-74697.70999999484</v>
      </c>
      <c r="T182" s="7"/>
      <c r="U182" s="397">
        <f>SUM(U175:U181)</f>
        <v>-21.680000000000291</v>
      </c>
      <c r="V182" s="398">
        <f>L182-U182</f>
        <v>-1.9999996460683178E-2</v>
      </c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396" t="s">
        <v>70</v>
      </c>
      <c r="B183" s="7" t="s">
        <v>222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11.833333333333334</v>
      </c>
      <c r="S183" s="267">
        <f>IF(Q182=0,0,(S182/Q182))</f>
        <v>-1.0002905886374549</v>
      </c>
      <c r="T183" s="7"/>
      <c r="U183" s="397"/>
      <c r="V183" s="398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396" t="s">
        <v>70</v>
      </c>
      <c r="B184" s="7" t="s">
        <v>222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397"/>
      <c r="V184" s="398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396" t="s">
        <v>230</v>
      </c>
      <c r="B185" s="7" t="s">
        <v>222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397"/>
      <c r="V185" s="398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396" t="s">
        <v>231</v>
      </c>
      <c r="B186" s="7" t="s">
        <v>222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v>0</v>
      </c>
      <c r="G186" s="99"/>
      <c r="H186" s="55"/>
      <c r="I186" s="19"/>
      <c r="J186" s="99">
        <f>L186/L182</f>
        <v>-638.30691254649741</v>
      </c>
      <c r="K186" s="55">
        <f>IF($J$97=0,0,L186/(J$94+J$95+J182))</f>
        <v>138.51260000000011</v>
      </c>
      <c r="L186" s="39">
        <v>13851.260000000009</v>
      </c>
      <c r="M186" s="26"/>
      <c r="N186" s="39">
        <f t="shared" ref="N186:N227" si="35">L186-F186</f>
        <v>13851.260000000009</v>
      </c>
      <c r="O186" s="99">
        <f>Q186/Q182</f>
        <v>0</v>
      </c>
      <c r="P186" s="55">
        <f>IF($J$97=0,0,Q186/(O$94+O$95+O182))</f>
        <v>0</v>
      </c>
      <c r="Q186" s="39">
        <v>0</v>
      </c>
      <c r="R186" s="26"/>
      <c r="S186" s="39">
        <f t="shared" ref="S186:S227" si="36">L186-Q186</f>
        <v>13851.260000000009</v>
      </c>
      <c r="T186" s="6">
        <v>14631</v>
      </c>
      <c r="U186" s="6" t="s">
        <v>501</v>
      </c>
      <c r="V186" s="6" t="s">
        <v>501</v>
      </c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396" t="s">
        <v>232</v>
      </c>
      <c r="B187" s="7" t="s">
        <v>222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>
        <f t="shared" si="35"/>
        <v>0</v>
      </c>
      <c r="O187" s="104">
        <f>Q187/(Q182)</f>
        <v>0</v>
      </c>
      <c r="P187" s="58">
        <f>IF($J$97=0,0,Q187/(O$94+O$95+O182))</f>
        <v>0</v>
      </c>
      <c r="Q187" s="39">
        <v>0</v>
      </c>
      <c r="R187" s="14"/>
      <c r="S187" s="61">
        <f t="shared" si="36"/>
        <v>0</v>
      </c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396" t="s">
        <v>233</v>
      </c>
      <c r="B188" s="7" t="s">
        <v>222</v>
      </c>
      <c r="C188" s="26" t="s">
        <v>32</v>
      </c>
      <c r="D188" s="26"/>
      <c r="E188" s="55" t="e">
        <f>IF($J$97=0,0,F188/(D$94+D$95+D182))</f>
        <v>#N/A</v>
      </c>
      <c r="F188" s="19">
        <v>0</v>
      </c>
      <c r="G188" s="56"/>
      <c r="H188" s="55"/>
      <c r="I188" s="19"/>
      <c r="J188" s="26"/>
      <c r="K188" s="55">
        <f>IF($J$97=0,0,L188/(J$94+J$95+J182))</f>
        <v>9.9480000000000111</v>
      </c>
      <c r="L188" s="72">
        <v>994.80000000000109</v>
      </c>
      <c r="M188" s="26"/>
      <c r="N188" s="39">
        <f t="shared" si="35"/>
        <v>994.80000000000109</v>
      </c>
      <c r="O188" s="26"/>
      <c r="P188" s="55">
        <f>IF($J$97=0,0,Q188/(O$94+O$95+O182))</f>
        <v>-254.43060240963857</v>
      </c>
      <c r="Q188" s="72">
        <v>-21117.74</v>
      </c>
      <c r="R188" s="26"/>
      <c r="S188" s="39">
        <f t="shared" si="36"/>
        <v>22112.54</v>
      </c>
      <c r="T188" s="6"/>
      <c r="U188" s="6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396" t="s">
        <v>234</v>
      </c>
      <c r="B189" s="7" t="s">
        <v>222</v>
      </c>
      <c r="C189" s="26" t="s">
        <v>33</v>
      </c>
      <c r="D189" s="26"/>
      <c r="E189" s="55" t="e">
        <f>IF($J$97=0,0,F189/(D$94+D$95+D182))</f>
        <v>#N/A</v>
      </c>
      <c r="F189" s="19">
        <v>0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>
        <f t="shared" si="35"/>
        <v>0</v>
      </c>
      <c r="O189" s="26"/>
      <c r="P189" s="55">
        <f>IF($J$97=0,0,Q189/(O$94+O$95+O182))</f>
        <v>0</v>
      </c>
      <c r="Q189" s="39">
        <v>0</v>
      </c>
      <c r="R189" s="26"/>
      <c r="S189" s="39">
        <f t="shared" si="36"/>
        <v>0</v>
      </c>
      <c r="T189" s="6"/>
      <c r="U189" s="6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396" t="s">
        <v>235</v>
      </c>
      <c r="B190" s="7" t="s">
        <v>222</v>
      </c>
      <c r="C190" s="14" t="s">
        <v>34</v>
      </c>
      <c r="D190" s="14"/>
      <c r="E190" s="58" t="e">
        <f>IF($J$97=0,0,F190/(D$94+D$95+D182))</f>
        <v>#N/A</v>
      </c>
      <c r="F190" s="31">
        <v>0</v>
      </c>
      <c r="G190" s="59"/>
      <c r="H190" s="58"/>
      <c r="I190" s="31"/>
      <c r="J190" s="14"/>
      <c r="K190" s="58">
        <f>IF($J$97=0,0,L190/(J$94+J$95+J182))</f>
        <v>0</v>
      </c>
      <c r="L190" s="61">
        <v>0</v>
      </c>
      <c r="M190" s="14"/>
      <c r="N190" s="61">
        <f t="shared" si="35"/>
        <v>0</v>
      </c>
      <c r="O190" s="14"/>
      <c r="P190" s="58">
        <f>IF($J$97=0,0,Q190/(O$94+O$95+O182))</f>
        <v>0</v>
      </c>
      <c r="Q190" s="61">
        <v>0</v>
      </c>
      <c r="R190" s="14"/>
      <c r="S190" s="61">
        <f t="shared" si="36"/>
        <v>0</v>
      </c>
      <c r="T190" s="97"/>
      <c r="U190" s="6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396" t="s">
        <v>236</v>
      </c>
      <c r="B191" s="7" t="s">
        <v>222</v>
      </c>
      <c r="C191" s="26" t="s">
        <v>35</v>
      </c>
      <c r="D191" s="26"/>
      <c r="E191" s="55" t="e">
        <f>IF($J$97=0,0,F191/(D$94+D$95+D182))</f>
        <v>#N/A</v>
      </c>
      <c r="F191" s="19">
        <v>0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>
        <f t="shared" si="35"/>
        <v>0</v>
      </c>
      <c r="O191" s="26"/>
      <c r="P191" s="55">
        <f>IF($J$97=0,0,Q191/(O$94+O$95+O182))</f>
        <v>0</v>
      </c>
      <c r="Q191" s="39">
        <v>0</v>
      </c>
      <c r="R191" s="26"/>
      <c r="S191" s="39">
        <f t="shared" si="36"/>
        <v>0</v>
      </c>
      <c r="T191" s="97"/>
      <c r="U191" s="6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396" t="s">
        <v>237</v>
      </c>
      <c r="B192" s="7" t="s">
        <v>222</v>
      </c>
      <c r="C192" s="26" t="s">
        <v>36</v>
      </c>
      <c r="D192" s="26"/>
      <c r="E192" s="55" t="e">
        <f>IF($J$97=0,0,F192/(D$94+D$95+D182))</f>
        <v>#N/A</v>
      </c>
      <c r="F192" s="19">
        <v>0</v>
      </c>
      <c r="G192" s="56"/>
      <c r="H192" s="55"/>
      <c r="I192" s="19"/>
      <c r="J192" s="26"/>
      <c r="K192" s="55">
        <f>IF($J$97=0,0,L192/(J$94+J$95+J182))</f>
        <v>286.92079999999987</v>
      </c>
      <c r="L192" s="39">
        <v>28692.079999999987</v>
      </c>
      <c r="M192" s="26"/>
      <c r="N192" s="39">
        <f t="shared" si="35"/>
        <v>28692.079999999987</v>
      </c>
      <c r="O192" s="26"/>
      <c r="P192" s="55">
        <f>IF($J$97=0,0,Q192/(O$94+O$95+O182))</f>
        <v>108.85060240963863</v>
      </c>
      <c r="Q192" s="39">
        <v>9034.6000000000058</v>
      </c>
      <c r="R192" s="26"/>
      <c r="S192" s="39">
        <f t="shared" si="36"/>
        <v>19657.479999999981</v>
      </c>
      <c r="T192" s="6">
        <v>28842</v>
      </c>
      <c r="U192" s="6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customHeight="1">
      <c r="A193" s="396" t="s">
        <v>238</v>
      </c>
      <c r="B193" s="7" t="s">
        <v>222</v>
      </c>
      <c r="C193" s="26" t="s">
        <v>302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35"/>
        <v>0</v>
      </c>
      <c r="O193" s="26"/>
      <c r="P193" s="55">
        <f>IF($J$97=0,0,Q193/(O$94+O$95))</f>
        <v>0</v>
      </c>
      <c r="Q193" s="21">
        <v>0</v>
      </c>
      <c r="R193" s="26"/>
      <c r="S193" s="39">
        <f t="shared" si="36"/>
        <v>0</v>
      </c>
      <c r="T193" s="7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customHeight="1">
      <c r="A194" s="396" t="s">
        <v>238</v>
      </c>
      <c r="B194" s="7" t="s">
        <v>222</v>
      </c>
      <c r="C194" s="26" t="s">
        <v>303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-206.26608695652175</v>
      </c>
      <c r="L194" s="39">
        <v>-4744.12</v>
      </c>
      <c r="M194" s="26"/>
      <c r="N194" s="39">
        <f t="shared" si="35"/>
        <v>-4744.12</v>
      </c>
      <c r="O194" s="26"/>
      <c r="P194" s="55">
        <f>IF($J$97=0,0,Q194/(O$94+O$95))</f>
        <v>0</v>
      </c>
      <c r="Q194" s="21">
        <v>0</v>
      </c>
      <c r="R194" s="26"/>
      <c r="S194" s="39">
        <f t="shared" si="36"/>
        <v>-4744.12</v>
      </c>
      <c r="T194" s="7">
        <v>-4744</v>
      </c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396" t="s">
        <v>238</v>
      </c>
      <c r="B195" s="7" t="s">
        <v>222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35"/>
        <v>0</v>
      </c>
      <c r="O195" s="26"/>
      <c r="P195" s="55">
        <f>IF($J$97=0,0,Q195/(O$94+O$95))</f>
        <v>0</v>
      </c>
      <c r="Q195" s="21">
        <v>0</v>
      </c>
      <c r="R195" s="26"/>
      <c r="S195" s="39">
        <f t="shared" si="36"/>
        <v>0</v>
      </c>
      <c r="T195" s="7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396" t="s">
        <v>239</v>
      </c>
      <c r="B196" s="7" t="s">
        <v>222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0.72210293898386801</v>
      </c>
      <c r="L196" s="64">
        <f>SUM(L186:L195)</f>
        <v>38794.019999999997</v>
      </c>
      <c r="M196" s="66"/>
      <c r="N196" s="64">
        <f t="shared" si="35"/>
        <v>38794.019999999997</v>
      </c>
      <c r="O196" s="65" t="s">
        <v>38</v>
      </c>
      <c r="P196" s="63">
        <f>Q196/Q$109</f>
        <v>-0.19539008921411652</v>
      </c>
      <c r="Q196" s="64">
        <f>SUM(Q186:Q195)</f>
        <v>-12083.139999999996</v>
      </c>
      <c r="R196" s="67"/>
      <c r="S196" s="64">
        <f t="shared" si="36"/>
        <v>50877.159999999989</v>
      </c>
      <c r="T196" s="7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396" t="s">
        <v>240</v>
      </c>
      <c r="B197" s="7" t="s">
        <v>222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-929.38999999999942</v>
      </c>
      <c r="M197" s="26"/>
      <c r="N197" s="39">
        <f t="shared" si="35"/>
        <v>-929.38999999999942</v>
      </c>
      <c r="O197" s="26"/>
      <c r="P197" s="7"/>
      <c r="Q197" s="39">
        <v>2962.7299999999814</v>
      </c>
      <c r="R197" s="26"/>
      <c r="S197" s="39">
        <f t="shared" si="36"/>
        <v>-3892.1199999999808</v>
      </c>
      <c r="T197" s="7"/>
      <c r="U197" s="6" t="s">
        <v>496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396" t="s">
        <v>241</v>
      </c>
      <c r="B198" s="7" t="s">
        <v>222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3287.7700000000041</v>
      </c>
      <c r="M198" s="26"/>
      <c r="N198" s="39">
        <f t="shared" si="35"/>
        <v>3287.7700000000041</v>
      </c>
      <c r="O198" s="26"/>
      <c r="P198" s="7"/>
      <c r="Q198" s="39">
        <v>5130.5999999999985</v>
      </c>
      <c r="R198" s="26"/>
      <c r="S198" s="39">
        <f t="shared" si="36"/>
        <v>-1842.8299999999945</v>
      </c>
      <c r="T198" s="7"/>
      <c r="U198" s="6" t="s">
        <v>502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396" t="s">
        <v>242</v>
      </c>
      <c r="B199" s="7" t="s">
        <v>222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0</v>
      </c>
      <c r="M199" s="71"/>
      <c r="N199" s="72">
        <f t="shared" si="35"/>
        <v>0</v>
      </c>
      <c r="O199" s="71"/>
      <c r="P199" s="69"/>
      <c r="Q199" s="72">
        <v>34960</v>
      </c>
      <c r="R199" s="71"/>
      <c r="S199" s="72">
        <f t="shared" si="36"/>
        <v>-34960</v>
      </c>
      <c r="T199" s="7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396" t="s">
        <v>243</v>
      </c>
      <c r="B200" s="7" t="s">
        <v>222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f t="shared" si="35"/>
        <v>0</v>
      </c>
      <c r="O200" s="26"/>
      <c r="P200" s="7"/>
      <c r="Q200" s="39">
        <v>0</v>
      </c>
      <c r="R200" s="26"/>
      <c r="S200" s="39">
        <f t="shared" si="36"/>
        <v>0</v>
      </c>
      <c r="T200" s="7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396" t="s">
        <v>238</v>
      </c>
      <c r="B201" s="7" t="s">
        <v>222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f t="shared" si="35"/>
        <v>0</v>
      </c>
      <c r="O201" s="26"/>
      <c r="P201" s="7"/>
      <c r="Q201" s="39">
        <v>0</v>
      </c>
      <c r="R201" s="26"/>
      <c r="S201" s="39">
        <f t="shared" si="36"/>
        <v>0</v>
      </c>
      <c r="T201" s="7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396" t="s">
        <v>238</v>
      </c>
      <c r="B202" s="7" t="s">
        <v>222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f t="shared" si="35"/>
        <v>0</v>
      </c>
      <c r="O202" s="26"/>
      <c r="P202" s="7"/>
      <c r="Q202" s="39">
        <v>0</v>
      </c>
      <c r="R202" s="26"/>
      <c r="S202" s="39">
        <f t="shared" si="36"/>
        <v>0</v>
      </c>
      <c r="T202" s="7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396" t="s">
        <v>238</v>
      </c>
      <c r="B203" s="7" t="s">
        <v>222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f t="shared" si="35"/>
        <v>0</v>
      </c>
      <c r="O203" s="26"/>
      <c r="P203" s="7"/>
      <c r="Q203" s="39">
        <v>0</v>
      </c>
      <c r="R203" s="26"/>
      <c r="S203" s="39">
        <f t="shared" si="36"/>
        <v>0</v>
      </c>
      <c r="T203" s="7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396" t="s">
        <v>244</v>
      </c>
      <c r="B204" s="7" t="s">
        <v>222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1636.8399999999983</v>
      </c>
      <c r="M204" s="26"/>
      <c r="N204" s="39">
        <f t="shared" si="35"/>
        <v>1636.8399999999983</v>
      </c>
      <c r="O204" s="26"/>
      <c r="P204" s="7"/>
      <c r="Q204" s="39">
        <v>2596.1999999999989</v>
      </c>
      <c r="R204" s="26"/>
      <c r="S204" s="39">
        <f t="shared" si="36"/>
        <v>-959.36000000000058</v>
      </c>
      <c r="T204" s="7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396" t="s">
        <v>245</v>
      </c>
      <c r="B205" s="7" t="s">
        <v>222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5941.7900000000009</v>
      </c>
      <c r="M205" s="71"/>
      <c r="N205" s="72">
        <f t="shared" si="35"/>
        <v>5941.7900000000009</v>
      </c>
      <c r="O205" s="71"/>
      <c r="P205" s="69"/>
      <c r="Q205" s="72">
        <v>2966.3899999999994</v>
      </c>
      <c r="R205" s="71"/>
      <c r="S205" s="72">
        <f t="shared" si="36"/>
        <v>2975.4000000000015</v>
      </c>
      <c r="T205" s="7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396" t="s">
        <v>246</v>
      </c>
      <c r="B206" s="7" t="s">
        <v>222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526.39000000000033</v>
      </c>
      <c r="M206" s="26"/>
      <c r="N206" s="39">
        <f t="shared" si="35"/>
        <v>526.39000000000033</v>
      </c>
      <c r="O206" s="26"/>
      <c r="P206" s="7"/>
      <c r="Q206" s="39">
        <v>328.94000000000051</v>
      </c>
      <c r="R206" s="26"/>
      <c r="S206" s="39">
        <f t="shared" si="36"/>
        <v>197.44999999999982</v>
      </c>
      <c r="T206" s="7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396" t="s">
        <v>247</v>
      </c>
      <c r="B207" s="7" t="s">
        <v>222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274.69</v>
      </c>
      <c r="M207" s="26"/>
      <c r="N207" s="39">
        <f t="shared" si="35"/>
        <v>274.69</v>
      </c>
      <c r="O207" s="26"/>
      <c r="P207" s="7"/>
      <c r="Q207" s="39">
        <v>0</v>
      </c>
      <c r="R207" s="26"/>
      <c r="S207" s="39">
        <f t="shared" si="36"/>
        <v>274.69</v>
      </c>
      <c r="T207" s="7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396" t="s">
        <v>238</v>
      </c>
      <c r="B208" s="7" t="s">
        <v>222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35"/>
        <v>0</v>
      </c>
      <c r="O208" s="14"/>
      <c r="P208" s="73"/>
      <c r="Q208" s="39">
        <v>0</v>
      </c>
      <c r="R208" s="14"/>
      <c r="S208" s="61">
        <f t="shared" si="36"/>
        <v>0</v>
      </c>
      <c r="T208" s="7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396" t="s">
        <v>248</v>
      </c>
      <c r="B209" s="7" t="s">
        <v>222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0.19987633011668521</v>
      </c>
      <c r="L209" s="64">
        <f>SUM(L197:L208)</f>
        <v>10738.090000000006</v>
      </c>
      <c r="M209" s="66"/>
      <c r="N209" s="64">
        <f t="shared" si="35"/>
        <v>10738.090000000006</v>
      </c>
      <c r="O209" s="65" t="s">
        <v>38</v>
      </c>
      <c r="P209" s="63">
        <f>Q209/Q$109</f>
        <v>0.79146153747887071</v>
      </c>
      <c r="Q209" s="64">
        <f>SUM(Q197:Q208)</f>
        <v>48944.859999999979</v>
      </c>
      <c r="R209" s="67"/>
      <c r="S209" s="64">
        <f t="shared" si="36"/>
        <v>-38206.769999999975</v>
      </c>
      <c r="T209" s="7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396" t="s">
        <v>249</v>
      </c>
      <c r="B210" s="7" t="s">
        <v>222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35"/>
        <v>0</v>
      </c>
      <c r="O210" s="26"/>
      <c r="P210" s="7"/>
      <c r="Q210" s="39">
        <v>0</v>
      </c>
      <c r="R210" s="26"/>
      <c r="S210" s="39">
        <f t="shared" si="36"/>
        <v>0</v>
      </c>
      <c r="T210" s="7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396" t="s">
        <v>250</v>
      </c>
      <c r="B211" s="7" t="s">
        <v>222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35"/>
        <v>0</v>
      </c>
      <c r="O211" s="26"/>
      <c r="P211" s="7"/>
      <c r="Q211" s="39">
        <v>0</v>
      </c>
      <c r="R211" s="26"/>
      <c r="S211" s="39">
        <f t="shared" si="36"/>
        <v>0</v>
      </c>
      <c r="T211" s="7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396" t="s">
        <v>251</v>
      </c>
      <c r="B212" s="7" t="s">
        <v>222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1000</v>
      </c>
      <c r="M212" s="14"/>
      <c r="N212" s="61">
        <f t="shared" si="35"/>
        <v>1000</v>
      </c>
      <c r="O212" s="14"/>
      <c r="P212" s="73"/>
      <c r="Q212" s="61">
        <v>0</v>
      </c>
      <c r="R212" s="14"/>
      <c r="S212" s="61">
        <f t="shared" si="36"/>
        <v>1000</v>
      </c>
      <c r="T212" s="7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396" t="s">
        <v>252</v>
      </c>
      <c r="B213" s="7" t="s">
        <v>222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f t="shared" si="35"/>
        <v>0</v>
      </c>
      <c r="O213" s="26"/>
      <c r="P213" s="7"/>
      <c r="Q213" s="39">
        <v>0</v>
      </c>
      <c r="R213" s="26"/>
      <c r="S213" s="39">
        <f t="shared" si="36"/>
        <v>0</v>
      </c>
      <c r="T213" s="7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396" t="s">
        <v>253</v>
      </c>
      <c r="B214" s="7" t="s">
        <v>222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f t="shared" si="35"/>
        <v>0</v>
      </c>
      <c r="O214" s="26"/>
      <c r="P214" s="7"/>
      <c r="Q214" s="39">
        <v>0</v>
      </c>
      <c r="R214" s="26"/>
      <c r="S214" s="39">
        <f t="shared" si="36"/>
        <v>0</v>
      </c>
      <c r="T214" s="93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396" t="s">
        <v>254</v>
      </c>
      <c r="B215" s="7" t="s">
        <v>222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f t="shared" si="35"/>
        <v>0</v>
      </c>
      <c r="O215" s="14"/>
      <c r="P215" s="73"/>
      <c r="Q215" s="61">
        <v>0</v>
      </c>
      <c r="R215" s="14"/>
      <c r="S215" s="61">
        <f t="shared" si="36"/>
        <v>0</v>
      </c>
      <c r="T215" s="7"/>
      <c r="U215" s="9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396" t="s">
        <v>255</v>
      </c>
      <c r="B216" s="7" t="s">
        <v>222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f t="shared" si="35"/>
        <v>0</v>
      </c>
      <c r="O216" s="26"/>
      <c r="P216" s="7"/>
      <c r="Q216" s="39">
        <v>0</v>
      </c>
      <c r="R216" s="26"/>
      <c r="S216" s="39">
        <f t="shared" si="36"/>
        <v>0</v>
      </c>
      <c r="T216" s="7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396" t="s">
        <v>256</v>
      </c>
      <c r="B217" s="7" t="s">
        <v>222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f t="shared" si="35"/>
        <v>0</v>
      </c>
      <c r="O217" s="26"/>
      <c r="P217" s="7"/>
      <c r="Q217" s="39">
        <v>0</v>
      </c>
      <c r="R217" s="26"/>
      <c r="S217" s="39">
        <f t="shared" si="36"/>
        <v>0</v>
      </c>
      <c r="T217" s="7"/>
      <c r="U217" s="9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396" t="s">
        <v>257</v>
      </c>
      <c r="B218" s="7" t="s">
        <v>222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250</v>
      </c>
      <c r="M218" s="26"/>
      <c r="N218" s="39">
        <f t="shared" si="35"/>
        <v>250</v>
      </c>
      <c r="O218" s="26"/>
      <c r="P218" s="7"/>
      <c r="Q218" s="39">
        <v>116</v>
      </c>
      <c r="R218" s="26"/>
      <c r="S218" s="39">
        <f t="shared" si="36"/>
        <v>134</v>
      </c>
      <c r="T218" s="7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396" t="s">
        <v>258</v>
      </c>
      <c r="B219" s="7" t="s">
        <v>222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f t="shared" si="35"/>
        <v>0</v>
      </c>
      <c r="O219" s="26"/>
      <c r="P219" s="7"/>
      <c r="Q219" s="39">
        <v>0</v>
      </c>
      <c r="R219" s="26"/>
      <c r="S219" s="39">
        <f t="shared" si="36"/>
        <v>0</v>
      </c>
      <c r="T219" s="7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396" t="s">
        <v>259</v>
      </c>
      <c r="B220" s="7" t="s">
        <v>222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397.59000000000015</v>
      </c>
      <c r="M220" s="26"/>
      <c r="N220" s="39">
        <f t="shared" si="35"/>
        <v>397.59000000000015</v>
      </c>
      <c r="O220" s="26"/>
      <c r="P220" s="7"/>
      <c r="Q220" s="39">
        <v>21.070000000000618</v>
      </c>
      <c r="R220" s="26"/>
      <c r="S220" s="39">
        <f t="shared" si="36"/>
        <v>376.51999999999953</v>
      </c>
      <c r="T220" s="7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396" t="s">
        <v>260</v>
      </c>
      <c r="B221" s="7" t="s">
        <v>222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f t="shared" si="35"/>
        <v>0</v>
      </c>
      <c r="O221" s="26"/>
      <c r="P221" s="7"/>
      <c r="Q221" s="39">
        <v>0</v>
      </c>
      <c r="R221" s="26"/>
      <c r="S221" s="39">
        <f t="shared" si="36"/>
        <v>0</v>
      </c>
      <c r="T221" s="7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396" t="s">
        <v>261</v>
      </c>
      <c r="B222" s="7" t="s">
        <v>222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f t="shared" si="35"/>
        <v>0</v>
      </c>
      <c r="O222" s="26"/>
      <c r="P222" s="7"/>
      <c r="Q222" s="39">
        <v>0</v>
      </c>
      <c r="R222" s="26"/>
      <c r="S222" s="39">
        <f t="shared" si="3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396" t="s">
        <v>262</v>
      </c>
      <c r="B223" s="7" t="s">
        <v>222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17.5</v>
      </c>
      <c r="M223" s="26"/>
      <c r="N223" s="39">
        <f t="shared" si="35"/>
        <v>17.5</v>
      </c>
      <c r="O223" s="26"/>
      <c r="P223" s="7"/>
      <c r="Q223" s="39">
        <v>0</v>
      </c>
      <c r="R223" s="26"/>
      <c r="S223" s="39">
        <f t="shared" si="36"/>
        <v>17.5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396" t="s">
        <v>238</v>
      </c>
      <c r="B224" s="7" t="s">
        <v>222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35"/>
        <v>0</v>
      </c>
      <c r="O224" s="26"/>
      <c r="P224" s="7"/>
      <c r="Q224" s="39">
        <v>0</v>
      </c>
      <c r="R224" s="26"/>
      <c r="S224" s="39">
        <f t="shared" si="3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396" t="s">
        <v>238</v>
      </c>
      <c r="B225" s="7" t="s">
        <v>222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35"/>
        <v>0</v>
      </c>
      <c r="O225" s="26"/>
      <c r="P225" s="7"/>
      <c r="Q225" s="39">
        <v>0</v>
      </c>
      <c r="R225" s="26"/>
      <c r="S225" s="39">
        <f t="shared" si="3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396" t="s">
        <v>238</v>
      </c>
      <c r="B226" s="7" t="s">
        <v>222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35"/>
        <v>0</v>
      </c>
      <c r="O226" s="26"/>
      <c r="P226" s="7"/>
      <c r="Q226" s="39">
        <v>0</v>
      </c>
      <c r="R226" s="26"/>
      <c r="S226" s="39">
        <f t="shared" si="3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396" t="s">
        <v>263</v>
      </c>
      <c r="B227" s="7" t="s">
        <v>222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3.0993601144523025E-2</v>
      </c>
      <c r="L227" s="64">
        <f>+SUM(L210:L226)</f>
        <v>1665.0900000000001</v>
      </c>
      <c r="M227" s="66"/>
      <c r="N227" s="64">
        <f t="shared" si="35"/>
        <v>1665.0900000000001</v>
      </c>
      <c r="O227" s="65" t="s">
        <v>38</v>
      </c>
      <c r="P227" s="63">
        <f>Q227/Q$109</f>
        <v>2.2164867351184446E-3</v>
      </c>
      <c r="Q227" s="64">
        <f>+SUM(Q210:Q226)</f>
        <v>137.07000000000062</v>
      </c>
      <c r="R227" s="67"/>
      <c r="S227" s="64">
        <f t="shared" si="36"/>
        <v>1528.0199999999995</v>
      </c>
      <c r="T227" s="7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396" t="s">
        <v>70</v>
      </c>
      <c r="B228" s="7" t="s">
        <v>222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396" t="s">
        <v>264</v>
      </c>
      <c r="B229" s="7" t="s">
        <v>222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0.95297287024507615</v>
      </c>
      <c r="L229" s="64">
        <f>L196+L209+L227</f>
        <v>51197.2</v>
      </c>
      <c r="M229" s="66"/>
      <c r="N229" s="64">
        <f t="shared" ref="N229:N236" si="37">L229-F229</f>
        <v>51197.2</v>
      </c>
      <c r="O229" s="65" t="s">
        <v>38</v>
      </c>
      <c r="P229" s="63">
        <f>Q229/Q$109</f>
        <v>0.59828793499987265</v>
      </c>
      <c r="Q229" s="64">
        <f>Q196+Q209+Q227</f>
        <v>36998.789999999986</v>
      </c>
      <c r="R229" s="67"/>
      <c r="S229" s="64">
        <f t="shared" ref="S229:S236" si="38">L229-Q229</f>
        <v>14198.410000000011</v>
      </c>
      <c r="T229" s="7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396" t="s">
        <v>265</v>
      </c>
      <c r="B230" s="7" t="s">
        <v>222</v>
      </c>
      <c r="C230" s="26" t="s">
        <v>266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37"/>
        <v>0</v>
      </c>
      <c r="O230" s="96"/>
      <c r="P230" s="95"/>
      <c r="Q230" s="39">
        <v>0</v>
      </c>
      <c r="R230" s="26"/>
      <c r="S230" s="39">
        <f t="shared" si="38"/>
        <v>0</v>
      </c>
      <c r="T230" s="74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396" t="s">
        <v>267</v>
      </c>
      <c r="B231" s="7" t="s">
        <v>222</v>
      </c>
      <c r="C231" s="26" t="s">
        <v>268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37"/>
        <v>0</v>
      </c>
      <c r="O231" s="96"/>
      <c r="P231" s="95"/>
      <c r="Q231" s="39">
        <v>0</v>
      </c>
      <c r="R231" s="26"/>
      <c r="S231" s="39">
        <f t="shared" si="38"/>
        <v>0</v>
      </c>
      <c r="T231" s="74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396" t="s">
        <v>269</v>
      </c>
      <c r="B232" s="7" t="s">
        <v>222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37"/>
        <v>0</v>
      </c>
      <c r="O232" s="26"/>
      <c r="P232" s="7"/>
      <c r="Q232" s="39">
        <v>0</v>
      </c>
      <c r="R232" s="26"/>
      <c r="S232" s="39">
        <f t="shared" si="38"/>
        <v>0</v>
      </c>
      <c r="T232" s="74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396" t="s">
        <v>270</v>
      </c>
      <c r="B233" s="7" t="s">
        <v>222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37"/>
        <v>0</v>
      </c>
      <c r="O233" s="275"/>
      <c r="P233" s="274"/>
      <c r="Q233" s="39">
        <v>0</v>
      </c>
      <c r="R233" s="26"/>
      <c r="S233" s="39">
        <f t="shared" si="38"/>
        <v>0</v>
      </c>
      <c r="T233" s="74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396" t="s">
        <v>238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37"/>
        <v>0</v>
      </c>
      <c r="O234" s="26"/>
      <c r="P234" s="7"/>
      <c r="Q234" s="39">
        <v>0</v>
      </c>
      <c r="R234" s="26"/>
      <c r="S234" s="39">
        <f t="shared" si="38"/>
        <v>0</v>
      </c>
      <c r="T234" s="74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396" t="s">
        <v>238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37"/>
        <v>0</v>
      </c>
      <c r="O235" s="26"/>
      <c r="P235" s="7"/>
      <c r="Q235" s="39">
        <v>0</v>
      </c>
      <c r="R235" s="26"/>
      <c r="S235" s="39">
        <f t="shared" si="38"/>
        <v>0</v>
      </c>
      <c r="T235" s="74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396" t="s">
        <v>238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37"/>
        <v>0</v>
      </c>
      <c r="O236" s="26"/>
      <c r="P236" s="7"/>
      <c r="Q236" s="39">
        <v>0</v>
      </c>
      <c r="R236" s="26"/>
      <c r="S236" s="39">
        <f t="shared" si="38"/>
        <v>0</v>
      </c>
      <c r="T236" s="74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396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396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-51218.899999996458</v>
      </c>
      <c r="M239" s="280"/>
      <c r="N239" s="138" t="e">
        <f>L239-F239</f>
        <v>#REF!</v>
      </c>
      <c r="O239" s="279"/>
      <c r="P239" s="278"/>
      <c r="Q239" s="138">
        <f>Q182-Q229+Q237</f>
        <v>37677.219999998393</v>
      </c>
      <c r="R239" s="281"/>
      <c r="S239" s="138">
        <f>L239-Q239</f>
        <v>-88896.119999994844</v>
      </c>
      <c r="T239" s="7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Réalisé, Juillet 2026</v>
      </c>
      <c r="T242" s="1"/>
      <c r="U242" s="381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426" t="s">
        <v>5</v>
      </c>
      <c r="E244" s="427"/>
      <c r="F244" s="425"/>
      <c r="G244" s="424"/>
      <c r="H244" s="427"/>
      <c r="I244" s="425"/>
      <c r="J244" s="424" t="s">
        <v>7</v>
      </c>
      <c r="K244" s="427"/>
      <c r="L244" s="425"/>
      <c r="M244" s="424" t="s">
        <v>210</v>
      </c>
      <c r="N244" s="425"/>
      <c r="O244" s="426" t="s">
        <v>8</v>
      </c>
      <c r="P244" s="427"/>
      <c r="Q244" s="425"/>
      <c r="R244" s="424" t="s">
        <v>211</v>
      </c>
      <c r="S244" s="425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396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217</v>
      </c>
      <c r="N245" s="84" t="s">
        <v>214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396" t="s">
        <v>344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/>
      <c r="H246" s="55"/>
      <c r="I246" s="55"/>
      <c r="J246" s="20">
        <v>235</v>
      </c>
      <c r="K246" s="55">
        <v>55313.92000000002</v>
      </c>
      <c r="L246" s="39">
        <v>37769.390000000007</v>
      </c>
      <c r="M246" s="99" t="e">
        <f>(K246-E246)/E246</f>
        <v>#DIV/0!</v>
      </c>
      <c r="N246" s="39">
        <f>L246-F246</f>
        <v>37769.390000000007</v>
      </c>
      <c r="O246" s="20">
        <v>183</v>
      </c>
      <c r="P246" s="55">
        <v>65437.75</v>
      </c>
      <c r="Q246" s="39">
        <v>50120.06</v>
      </c>
      <c r="R246" s="99">
        <f>IF(O246=0,0,J246/O246)</f>
        <v>1.284153005464481</v>
      </c>
      <c r="S246" s="39">
        <f>L246-Q246</f>
        <v>-12350.669999999991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396" t="s">
        <v>345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/>
      <c r="J247" s="40"/>
      <c r="K247" s="7"/>
      <c r="L247" s="100">
        <f>IF(L246=0,0,L246/K246)</f>
        <v>0.68281889983570132</v>
      </c>
      <c r="M247" s="99"/>
      <c r="N247" s="39"/>
      <c r="O247" s="40"/>
      <c r="P247" s="7"/>
      <c r="Q247" s="100">
        <f>IF(Q246=0,0,Q246/P246)</f>
        <v>0.76591967174910502</v>
      </c>
      <c r="R247" s="40"/>
      <c r="S247" s="100">
        <f>IF(Q246=0,0,(S246/Q246))</f>
        <v>-0.24642169223261087</v>
      </c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396" t="s">
        <v>78</v>
      </c>
      <c r="B248" s="7" t="s">
        <v>78</v>
      </c>
      <c r="C248" s="14"/>
      <c r="D248" s="58"/>
      <c r="E248" s="312">
        <f>IFERROR(E246/D246,0)</f>
        <v>0</v>
      </c>
      <c r="F248" s="102"/>
      <c r="G248" s="103"/>
      <c r="H248" s="312"/>
      <c r="I248" s="102"/>
      <c r="J248" s="103"/>
      <c r="K248" s="312">
        <f>IFERROR(K246/J246,0)</f>
        <v>235.37838297872349</v>
      </c>
      <c r="L248" s="102"/>
      <c r="M248" s="104"/>
      <c r="N248" s="61"/>
      <c r="O248" s="103"/>
      <c r="P248" s="312">
        <f>IFERROR(P246/O246,0)</f>
        <v>357.58333333333331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396" t="s">
        <v>346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/>
      <c r="H249" s="55"/>
      <c r="I249" s="55"/>
      <c r="J249" s="20">
        <v>249</v>
      </c>
      <c r="K249" s="105">
        <v>40258.299999999988</v>
      </c>
      <c r="L249" s="39">
        <v>25248.279999999984</v>
      </c>
      <c r="M249" s="99" t="e">
        <f>(K249-E249)/E249</f>
        <v>#DIV/0!</v>
      </c>
      <c r="N249" s="72">
        <f>L249-F249</f>
        <v>25248.279999999984</v>
      </c>
      <c r="O249" s="20">
        <v>287</v>
      </c>
      <c r="P249" s="105">
        <v>42415.419999999984</v>
      </c>
      <c r="Q249" s="39">
        <v>29941.139999999985</v>
      </c>
      <c r="R249" s="99">
        <f>IF(O249=0,0,J249/O249)</f>
        <v>0.86759581881533099</v>
      </c>
      <c r="S249" s="39">
        <f>L249-Q249</f>
        <v>-4692.8600000000006</v>
      </c>
      <c r="T249" s="55"/>
      <c r="U249" s="6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396" t="s">
        <v>345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/>
      <c r="J250" s="26"/>
      <c r="K250" s="7"/>
      <c r="L250" s="100">
        <f>IF(L249=0,0,L249/K249)</f>
        <v>0.62715713281484786</v>
      </c>
      <c r="M250" s="99"/>
      <c r="N250" s="100"/>
      <c r="O250" s="26"/>
      <c r="P250" s="7"/>
      <c r="Q250" s="100">
        <f>IF(Q249=0,0,Q249/P249)</f>
        <v>0.70590224027016579</v>
      </c>
      <c r="R250" s="99"/>
      <c r="S250" s="100">
        <f>IF(Q249=0,0,(S249/Q249))</f>
        <v>-0.15673618305782622</v>
      </c>
      <c r="T250" s="7"/>
      <c r="U250" s="6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396" t="s">
        <v>78</v>
      </c>
      <c r="B251" s="7" t="s">
        <v>78</v>
      </c>
      <c r="C251" s="14"/>
      <c r="D251" s="73"/>
      <c r="E251" s="312">
        <f>IFERROR(E249/D249,0)</f>
        <v>0</v>
      </c>
      <c r="F251" s="102"/>
      <c r="G251" s="103"/>
      <c r="H251" s="312"/>
      <c r="I251" s="102"/>
      <c r="J251" s="103"/>
      <c r="K251" s="312">
        <f>IFERROR(K249/J249,0)</f>
        <v>161.67991967871481</v>
      </c>
      <c r="L251" s="102"/>
      <c r="M251" s="104"/>
      <c r="N251" s="61"/>
      <c r="O251" s="103"/>
      <c r="P251" s="312">
        <f>IFERROR(P249/O249,0)</f>
        <v>147.78891986062712</v>
      </c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396" t="s">
        <v>347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/>
      <c r="H252" s="55"/>
      <c r="I252" s="55"/>
      <c r="J252" s="20">
        <v>378</v>
      </c>
      <c r="K252" s="105">
        <v>62176.879999999976</v>
      </c>
      <c r="L252" s="39">
        <v>45266.029999999977</v>
      </c>
      <c r="M252" s="99" t="e">
        <f>(K252-E252)/E252</f>
        <v>#DIV/0!</v>
      </c>
      <c r="N252" s="39">
        <f>L252-F252</f>
        <v>45266.029999999977</v>
      </c>
      <c r="O252" s="20">
        <v>455</v>
      </c>
      <c r="P252" s="105">
        <v>63236.669999999984</v>
      </c>
      <c r="Q252" s="39">
        <v>48421.969999999987</v>
      </c>
      <c r="R252" s="99">
        <f>IF(O252=0,0,J252/O252)</f>
        <v>0.83076923076923082</v>
      </c>
      <c r="S252" s="39">
        <f>L252-Q252</f>
        <v>-3155.9400000000096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396" t="s">
        <v>345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/>
      <c r="J253" s="40"/>
      <c r="K253" s="91"/>
      <c r="L253" s="100">
        <f>IF(L252=0,0,L252/K252)</f>
        <v>0.72802028664030738</v>
      </c>
      <c r="M253" s="99"/>
      <c r="N253" s="39" t="e">
        <f>L253-F253</f>
        <v>#DIV/0!</v>
      </c>
      <c r="O253" s="40"/>
      <c r="P253" s="91"/>
      <c r="Q253" s="100">
        <f>IF(Q252=0,0,Q252/P252)</f>
        <v>0.7657261206195709</v>
      </c>
      <c r="R253" s="40"/>
      <c r="S253" s="100">
        <f>IF(Q252=0,0,(S252/Q252))</f>
        <v>-6.5175786941341102E-2</v>
      </c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396" t="s">
        <v>78</v>
      </c>
      <c r="B254" s="7" t="s">
        <v>78</v>
      </c>
      <c r="C254" s="26"/>
      <c r="D254" s="55"/>
      <c r="E254" s="312">
        <f>IFERROR(E252/D252,0)</f>
        <v>0</v>
      </c>
      <c r="F254" s="102"/>
      <c r="G254" s="103"/>
      <c r="H254" s="312"/>
      <c r="I254" s="102"/>
      <c r="J254" s="103"/>
      <c r="K254" s="312">
        <f>IFERROR(K252/J252,0)</f>
        <v>164.48910052910045</v>
      </c>
      <c r="L254" s="102"/>
      <c r="M254" s="104"/>
      <c r="N254" s="61"/>
      <c r="O254" s="103"/>
      <c r="P254" s="312">
        <f>IFERROR(P252/O252,0)</f>
        <v>138.98169230769227</v>
      </c>
      <c r="Q254" s="102"/>
      <c r="R254" s="103"/>
      <c r="S254" s="39"/>
      <c r="T254" s="55"/>
      <c r="U254" s="384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396" t="s">
        <v>348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>
        <f>IF(E255=0,0,(K255-E255)/E255)</f>
        <v>0</v>
      </c>
      <c r="N255" s="72">
        <f>L255-F255</f>
        <v>0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55"/>
      <c r="U255" s="6" t="s">
        <v>507</v>
      </c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396" t="s">
        <v>345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74"/>
      <c r="U256" s="384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396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2">
        <f>IFERROR(K255/J255,0)</f>
        <v>0</v>
      </c>
      <c r="L257" s="102"/>
      <c r="M257" s="103"/>
      <c r="N257" s="61"/>
      <c r="O257" s="103"/>
      <c r="P257" s="312">
        <f>IFERROR(P255/O255,0)</f>
        <v>0</v>
      </c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396" t="s">
        <v>349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/>
      <c r="J258" s="40"/>
      <c r="K258" s="55"/>
      <c r="L258" s="55">
        <v>-159.40999999999985</v>
      </c>
      <c r="M258" s="40"/>
      <c r="N258" s="39">
        <f>L258-F258</f>
        <v>-159.40999999999985</v>
      </c>
      <c r="O258" s="40"/>
      <c r="P258" s="55"/>
      <c r="Q258" s="55">
        <v>1791.8900000000031</v>
      </c>
      <c r="R258" s="313"/>
      <c r="S258" s="39">
        <f t="shared" ref="S258:S259" si="39">L258-Q258</f>
        <v>-1951.3000000000029</v>
      </c>
      <c r="T258" s="7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396" t="s">
        <v>350</v>
      </c>
      <c r="B259" s="7" t="s">
        <v>78</v>
      </c>
      <c r="C259" s="314" t="s">
        <v>87</v>
      </c>
      <c r="D259" s="116">
        <f>D246+D249+D252+D255+D258</f>
        <v>0</v>
      </c>
      <c r="E259" s="116">
        <f>E246+E249+E252+E255+E258</f>
        <v>0</v>
      </c>
      <c r="F259" s="117">
        <f>F246+F249+F252+F255+F258</f>
        <v>0</v>
      </c>
      <c r="G259" s="118"/>
      <c r="H259" s="116"/>
      <c r="I259" s="117"/>
      <c r="J259" s="315">
        <f t="shared" ref="J259:K259" si="40">J246+J249+J252+J255+J258</f>
        <v>862</v>
      </c>
      <c r="K259" s="316">
        <f t="shared" si="40"/>
        <v>157749.09999999998</v>
      </c>
      <c r="L259" s="317">
        <f>L246+L249+L252+L255+L258</f>
        <v>108124.28999999996</v>
      </c>
      <c r="M259" s="318" t="e">
        <f>(K259-E259)/E259</f>
        <v>#DIV/0!</v>
      </c>
      <c r="N259" s="317">
        <f>L259-F259</f>
        <v>108124.28999999996</v>
      </c>
      <c r="O259" s="315">
        <f t="shared" ref="O259:P259" si="41">O246+O249+O252+O255+O258</f>
        <v>925</v>
      </c>
      <c r="P259" s="316">
        <f t="shared" si="41"/>
        <v>171089.83999999997</v>
      </c>
      <c r="Q259" s="317">
        <f>Q246+Q249+Q252+Q255+Q258</f>
        <v>130275.05999999997</v>
      </c>
      <c r="R259" s="27">
        <f>IF(O259=0,0,J259/O259)</f>
        <v>0.93189189189189192</v>
      </c>
      <c r="S259" s="117">
        <f t="shared" si="39"/>
        <v>-22150.770000000004</v>
      </c>
      <c r="T259" s="74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396" t="s">
        <v>351</v>
      </c>
      <c r="B260" s="7" t="s">
        <v>78</v>
      </c>
      <c r="C260" s="319" t="s">
        <v>88</v>
      </c>
      <c r="D260" s="119"/>
      <c r="E260" s="320"/>
      <c r="F260" s="120" t="e">
        <f>F259/E259</f>
        <v>#DIV/0!</v>
      </c>
      <c r="G260" s="121"/>
      <c r="H260" s="320"/>
      <c r="I260" s="28"/>
      <c r="J260" s="114"/>
      <c r="K260" s="321">
        <f>IF(J259=0,0,K259/J259)</f>
        <v>183.00359628770298</v>
      </c>
      <c r="L260" s="28">
        <f>IF(L259=0,0,L259/K259)</f>
        <v>0.68541937798694241</v>
      </c>
      <c r="M260" s="114"/>
      <c r="N260" s="107" t="e">
        <f>N259/F259</f>
        <v>#DIV/0!</v>
      </c>
      <c r="O260" s="114"/>
      <c r="P260" s="321">
        <f>IF(O259=0,0,P259/O259)</f>
        <v>184.96198918918915</v>
      </c>
      <c r="Q260" s="28">
        <f>IF(Q259=0,0,Q259/P259)</f>
        <v>0.76144240943822261</v>
      </c>
      <c r="R260" s="121"/>
      <c r="S260" s="28">
        <f>S259/Q259</f>
        <v>-0.17003077949071763</v>
      </c>
      <c r="T260" s="74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396" t="s">
        <v>78</v>
      </c>
      <c r="B261" s="7" t="s">
        <v>78</v>
      </c>
      <c r="C261" s="71"/>
      <c r="D261" s="105"/>
      <c r="E261" s="322"/>
      <c r="F261" s="72"/>
      <c r="G261" s="106"/>
      <c r="H261" s="322"/>
      <c r="I261" s="72"/>
      <c r="J261" s="106"/>
      <c r="K261" s="322"/>
      <c r="L261" s="72"/>
      <c r="M261" s="106"/>
      <c r="N261" s="72"/>
      <c r="O261" s="106"/>
      <c r="P261" s="322"/>
      <c r="Q261" s="72"/>
      <c r="R261" s="106"/>
      <c r="S261" s="72"/>
      <c r="T261" s="74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396" t="s">
        <v>352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/>
      <c r="I262" s="55"/>
      <c r="J262" s="20">
        <v>269</v>
      </c>
      <c r="K262" s="55">
        <v>12594.499999999993</v>
      </c>
      <c r="L262" s="39">
        <v>5236.5599999999977</v>
      </c>
      <c r="M262" s="99">
        <f>IF(E262=0,0,(K262-E262)/E262)</f>
        <v>0</v>
      </c>
      <c r="N262" s="39">
        <f>L262-F262</f>
        <v>5236.5599999999977</v>
      </c>
      <c r="O262" s="20">
        <v>298</v>
      </c>
      <c r="P262" s="55">
        <v>23416.78999999999</v>
      </c>
      <c r="Q262" s="39">
        <v>5207.3999999999978</v>
      </c>
      <c r="R262" s="99">
        <f>IF(O262=0,0,J262/O262)</f>
        <v>0.90268456375838924</v>
      </c>
      <c r="S262" s="39">
        <f>L262-Q262</f>
        <v>29.159999999999854</v>
      </c>
      <c r="T262" s="74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396" t="s">
        <v>345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0.41578149192107672</v>
      </c>
      <c r="M263" s="40"/>
      <c r="N263" s="39"/>
      <c r="O263" s="40"/>
      <c r="P263" s="91"/>
      <c r="Q263" s="100">
        <f>IF(Q262=0,0,Q262/P262)</f>
        <v>0.22237889992607868</v>
      </c>
      <c r="R263" s="40"/>
      <c r="S263" s="100">
        <f>IF(Q262=0,0,(S262/Q262))</f>
        <v>5.5997234704458785E-3</v>
      </c>
      <c r="T263" s="74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396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396" t="s">
        <v>353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>
        <f>IF(E265=0,0,(K265-E265)/E265)</f>
        <v>0</v>
      </c>
      <c r="N265" s="39">
        <f>L265-F265</f>
        <v>0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74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396" t="s">
        <v>345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383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396" t="s">
        <v>78</v>
      </c>
      <c r="B267" s="7" t="s">
        <v>78</v>
      </c>
      <c r="C267" s="323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396" t="s">
        <v>354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/>
      <c r="I268" s="43"/>
      <c r="J268" s="44"/>
      <c r="K268" s="41">
        <f t="shared" ref="K268" si="42">K259+K262+K265</f>
        <v>170343.59999999998</v>
      </c>
      <c r="L268" s="43">
        <f>L259+L262+L265</f>
        <v>113360.84999999996</v>
      </c>
      <c r="M268" s="44" t="e">
        <f>L269-F269</f>
        <v>#DIV/0!</v>
      </c>
      <c r="N268" s="43">
        <f>L268-F268</f>
        <v>113360.84999999996</v>
      </c>
      <c r="O268" s="44"/>
      <c r="P268" s="41">
        <f t="shared" ref="P268" si="43">P259+P262+P265</f>
        <v>194506.62999999995</v>
      </c>
      <c r="Q268" s="43">
        <f>Q259+Q262+Q265</f>
        <v>135482.45999999996</v>
      </c>
      <c r="R268" s="44"/>
      <c r="S268" s="43">
        <f>L268-Q268</f>
        <v>-22121.61</v>
      </c>
      <c r="T268" s="7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396" t="s">
        <v>78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/>
      <c r="J269" s="47"/>
      <c r="K269" s="265"/>
      <c r="L269" s="267">
        <f>L268/K268</f>
        <v>0.66548346988087592</v>
      </c>
      <c r="M269" s="48"/>
      <c r="N269" s="49" t="e">
        <f>N268/F268</f>
        <v>#DIV/0!</v>
      </c>
      <c r="O269" s="47"/>
      <c r="P269" s="265"/>
      <c r="Q269" s="267">
        <f>Q268/P268</f>
        <v>0.6965441743553934</v>
      </c>
      <c r="R269" s="48"/>
      <c r="S269" s="267">
        <f>L268/S268</f>
        <v>-5.1244394056309623</v>
      </c>
      <c r="T269" s="7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396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396" t="s">
        <v>355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396" t="s">
        <v>356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/>
      <c r="J272" s="26"/>
      <c r="K272" s="7"/>
      <c r="L272" s="39">
        <v>12853.82</v>
      </c>
      <c r="M272" s="26"/>
      <c r="N272" s="39">
        <f t="shared" ref="N272:N303" si="44">L272-F272</f>
        <v>12853.82</v>
      </c>
      <c r="O272" s="26"/>
      <c r="P272" s="7"/>
      <c r="Q272" s="39">
        <v>5906.5900000000038</v>
      </c>
      <c r="R272" s="26"/>
      <c r="S272" s="39">
        <f t="shared" ref="S272:S303" si="45">L272-Q272</f>
        <v>6947.2299999999959</v>
      </c>
      <c r="T272" s="7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396" t="s">
        <v>357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/>
      <c r="J273" s="26"/>
      <c r="K273" s="7"/>
      <c r="L273" s="39">
        <v>7731.890000000014</v>
      </c>
      <c r="M273" s="26"/>
      <c r="N273" s="39">
        <f t="shared" si="44"/>
        <v>7731.890000000014</v>
      </c>
      <c r="O273" s="26"/>
      <c r="P273" s="7"/>
      <c r="Q273" s="39">
        <v>25872.709999999992</v>
      </c>
      <c r="R273" s="26"/>
      <c r="S273" s="39">
        <f t="shared" si="45"/>
        <v>-18140.819999999978</v>
      </c>
      <c r="T273" s="7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396" t="s">
        <v>358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/>
      <c r="J274" s="71"/>
      <c r="K274" s="69"/>
      <c r="L274" s="72">
        <v>14189.179999999993</v>
      </c>
      <c r="M274" s="71"/>
      <c r="N274" s="72">
        <f t="shared" si="44"/>
        <v>14189.179999999993</v>
      </c>
      <c r="O274" s="71"/>
      <c r="P274" s="69"/>
      <c r="Q274" s="72">
        <v>28878.739999999991</v>
      </c>
      <c r="R274" s="71"/>
      <c r="S274" s="72">
        <f t="shared" si="45"/>
        <v>-14689.559999999998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396" t="s">
        <v>359</v>
      </c>
      <c r="B275" s="7" t="s">
        <v>78</v>
      </c>
      <c r="C275" s="271" t="s">
        <v>43</v>
      </c>
      <c r="D275" s="54"/>
      <c r="E275" s="324" t="e">
        <f>F275/E246</f>
        <v>#DIV/0!</v>
      </c>
      <c r="F275" s="19">
        <v>0</v>
      </c>
      <c r="G275" s="56"/>
      <c r="H275" s="7"/>
      <c r="I275" s="19"/>
      <c r="J275" s="26"/>
      <c r="K275" s="325"/>
      <c r="L275" s="39">
        <v>15574.6</v>
      </c>
      <c r="M275" s="26"/>
      <c r="N275" s="39">
        <f t="shared" si="44"/>
        <v>15574.6</v>
      </c>
      <c r="O275" s="26"/>
      <c r="P275" s="325"/>
      <c r="Q275" s="39">
        <v>0</v>
      </c>
      <c r="R275" s="26"/>
      <c r="S275" s="39">
        <f t="shared" si="45"/>
        <v>15574.6</v>
      </c>
      <c r="T275" s="7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396" t="s">
        <v>360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/>
      <c r="J276" s="26"/>
      <c r="K276" s="7"/>
      <c r="L276" s="39">
        <v>0</v>
      </c>
      <c r="M276" s="26"/>
      <c r="N276" s="39">
        <f t="shared" si="44"/>
        <v>0</v>
      </c>
      <c r="O276" s="26"/>
      <c r="P276" s="7"/>
      <c r="Q276" s="39">
        <v>0</v>
      </c>
      <c r="R276" s="26"/>
      <c r="S276" s="39">
        <f t="shared" si="45"/>
        <v>0</v>
      </c>
      <c r="T276" s="7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396" t="s">
        <v>360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/>
      <c r="J277" s="26"/>
      <c r="K277" s="7"/>
      <c r="L277" s="39">
        <v>0</v>
      </c>
      <c r="M277" s="26"/>
      <c r="N277" s="39">
        <f t="shared" si="44"/>
        <v>0</v>
      </c>
      <c r="O277" s="26"/>
      <c r="P277" s="7"/>
      <c r="Q277" s="39">
        <v>0</v>
      </c>
      <c r="R277" s="26"/>
      <c r="S277" s="39">
        <f t="shared" si="45"/>
        <v>0</v>
      </c>
      <c r="T277" s="7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396" t="s">
        <v>360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/>
      <c r="J278" s="26"/>
      <c r="K278" s="7"/>
      <c r="L278" s="39">
        <v>0</v>
      </c>
      <c r="M278" s="26"/>
      <c r="N278" s="39">
        <f t="shared" si="44"/>
        <v>0</v>
      </c>
      <c r="O278" s="26"/>
      <c r="P278" s="7"/>
      <c r="Q278" s="39">
        <v>0</v>
      </c>
      <c r="R278" s="26"/>
      <c r="S278" s="39">
        <f t="shared" si="45"/>
        <v>0</v>
      </c>
      <c r="T278" s="7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396" t="s">
        <v>361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/>
      <c r="J279" s="26"/>
      <c r="K279" s="7"/>
      <c r="L279" s="39">
        <v>15868.100000000006</v>
      </c>
      <c r="M279" s="26"/>
      <c r="N279" s="39">
        <f t="shared" si="44"/>
        <v>15868.100000000006</v>
      </c>
      <c r="O279" s="26"/>
      <c r="P279" s="7"/>
      <c r="Q279" s="39">
        <v>24874.010000000009</v>
      </c>
      <c r="R279" s="26"/>
      <c r="S279" s="39">
        <f t="shared" si="45"/>
        <v>-9005.9100000000035</v>
      </c>
      <c r="T279" s="7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396" t="s">
        <v>362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/>
      <c r="J280" s="71"/>
      <c r="K280" s="69"/>
      <c r="L280" s="72">
        <v>13324.739999999991</v>
      </c>
      <c r="M280" s="71"/>
      <c r="N280" s="72">
        <f t="shared" si="44"/>
        <v>13324.739999999991</v>
      </c>
      <c r="O280" s="71"/>
      <c r="P280" s="69"/>
      <c r="Q280" s="72">
        <v>10851.210000000006</v>
      </c>
      <c r="R280" s="71"/>
      <c r="S280" s="72">
        <f t="shared" si="45"/>
        <v>2473.5299999999843</v>
      </c>
      <c r="T280" s="7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396" t="s">
        <v>363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/>
      <c r="J281" s="26"/>
      <c r="K281" s="7"/>
      <c r="L281" s="39">
        <v>5623.0500000000029</v>
      </c>
      <c r="M281" s="26"/>
      <c r="N281" s="39">
        <f t="shared" si="44"/>
        <v>5623.0500000000029</v>
      </c>
      <c r="O281" s="26"/>
      <c r="P281" s="7"/>
      <c r="Q281" s="39">
        <v>9511.3800000000047</v>
      </c>
      <c r="R281" s="26"/>
      <c r="S281" s="39">
        <f t="shared" si="45"/>
        <v>-3888.3300000000017</v>
      </c>
      <c r="T281" s="7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396" t="s">
        <v>364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/>
      <c r="J282" s="26"/>
      <c r="K282" s="7"/>
      <c r="L282" s="39">
        <v>3712.4700000000012</v>
      </c>
      <c r="M282" s="26"/>
      <c r="N282" s="39">
        <f t="shared" si="44"/>
        <v>3712.4700000000012</v>
      </c>
      <c r="O282" s="26"/>
      <c r="P282" s="7"/>
      <c r="Q282" s="39">
        <v>1005.04</v>
      </c>
      <c r="R282" s="26"/>
      <c r="S282" s="39">
        <f t="shared" si="45"/>
        <v>2707.4300000000012</v>
      </c>
      <c r="T282" s="7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396" t="s">
        <v>360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/>
      <c r="J283" s="14"/>
      <c r="K283" s="73"/>
      <c r="L283" s="39">
        <v>0</v>
      </c>
      <c r="M283" s="14"/>
      <c r="N283" s="21">
        <f t="shared" si="44"/>
        <v>0</v>
      </c>
      <c r="O283" s="14"/>
      <c r="P283" s="73"/>
      <c r="Q283" s="39">
        <v>0</v>
      </c>
      <c r="R283" s="14"/>
      <c r="S283" s="61">
        <f t="shared" si="45"/>
        <v>0</v>
      </c>
      <c r="T283" s="7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396" t="s">
        <v>365</v>
      </c>
      <c r="B284" s="7" t="s">
        <v>78</v>
      </c>
      <c r="C284" s="139" t="s">
        <v>48</v>
      </c>
      <c r="D284" s="62" t="s">
        <v>92</v>
      </c>
      <c r="E284" s="63" t="e">
        <f>F284/F$268</f>
        <v>#DIV/0!</v>
      </c>
      <c r="F284" s="64">
        <f>+SUM(F272:F283)</f>
        <v>0</v>
      </c>
      <c r="G284" s="65"/>
      <c r="H284" s="63"/>
      <c r="I284" s="64"/>
      <c r="J284" s="65" t="s">
        <v>92</v>
      </c>
      <c r="K284" s="63">
        <f>L284/L$268</f>
        <v>0.78402596663663016</v>
      </c>
      <c r="L284" s="64">
        <f>+SUM(L272:L283)</f>
        <v>88877.85</v>
      </c>
      <c r="M284" s="66"/>
      <c r="N284" s="64">
        <f t="shared" si="44"/>
        <v>88877.85</v>
      </c>
      <c r="O284" s="65" t="s">
        <v>92</v>
      </c>
      <c r="P284" s="63">
        <f>Q284/Q$268</f>
        <v>0.78902966479941405</v>
      </c>
      <c r="Q284" s="64">
        <f>+SUM(Q272:Q283)</f>
        <v>106899.68</v>
      </c>
      <c r="R284" s="67"/>
      <c r="S284" s="64">
        <f t="shared" si="45"/>
        <v>-18021.829999999987</v>
      </c>
      <c r="T284" s="7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396" t="s">
        <v>366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/>
      <c r="J285" s="26"/>
      <c r="K285" s="7"/>
      <c r="L285" s="39">
        <v>1608.5099999999993</v>
      </c>
      <c r="M285" s="26"/>
      <c r="N285" s="39">
        <f t="shared" si="44"/>
        <v>1608.5099999999993</v>
      </c>
      <c r="O285" s="26"/>
      <c r="P285" s="7"/>
      <c r="Q285" s="39">
        <v>1188.7200000000003</v>
      </c>
      <c r="R285" s="26"/>
      <c r="S285" s="39">
        <f t="shared" si="45"/>
        <v>419.78999999999905</v>
      </c>
      <c r="T285" s="7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396" t="s">
        <v>367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/>
      <c r="J286" s="26"/>
      <c r="K286" s="7"/>
      <c r="L286" s="39">
        <v>4598.1100000000006</v>
      </c>
      <c r="M286" s="26"/>
      <c r="N286" s="39">
        <f t="shared" si="44"/>
        <v>4598.1100000000006</v>
      </c>
      <c r="O286" s="26"/>
      <c r="P286" s="7"/>
      <c r="Q286" s="39">
        <v>1299.6200000000008</v>
      </c>
      <c r="R286" s="26"/>
      <c r="S286" s="39">
        <f t="shared" si="45"/>
        <v>3298.49</v>
      </c>
      <c r="T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396" t="s">
        <v>368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/>
      <c r="J287" s="14"/>
      <c r="K287" s="73"/>
      <c r="L287" s="39">
        <v>13172.310000000005</v>
      </c>
      <c r="M287" s="14"/>
      <c r="N287" s="61">
        <f t="shared" si="44"/>
        <v>13172.310000000005</v>
      </c>
      <c r="O287" s="14"/>
      <c r="P287" s="73"/>
      <c r="Q287" s="39">
        <v>10703.549999999996</v>
      </c>
      <c r="R287" s="14"/>
      <c r="S287" s="61">
        <f t="shared" si="45"/>
        <v>2468.7600000000093</v>
      </c>
      <c r="T287" s="7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396" t="s">
        <v>369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/>
      <c r="J288" s="26"/>
      <c r="K288" s="7"/>
      <c r="L288" s="72">
        <v>4088.59</v>
      </c>
      <c r="M288" s="26"/>
      <c r="N288" s="39">
        <f t="shared" si="44"/>
        <v>4088.59</v>
      </c>
      <c r="O288" s="26"/>
      <c r="P288" s="7"/>
      <c r="Q288" s="72">
        <v>3059.0899999999983</v>
      </c>
      <c r="R288" s="26"/>
      <c r="S288" s="39">
        <f t="shared" si="45"/>
        <v>1029.5000000000018</v>
      </c>
      <c r="T288" s="7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396" t="s">
        <v>370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/>
      <c r="J289" s="26"/>
      <c r="K289" s="7"/>
      <c r="L289" s="39">
        <v>555.04000000000087</v>
      </c>
      <c r="M289" s="26"/>
      <c r="N289" s="39">
        <f t="shared" si="44"/>
        <v>555.04000000000087</v>
      </c>
      <c r="O289" s="26"/>
      <c r="P289" s="7"/>
      <c r="Q289" s="39">
        <v>1541.6200000000022</v>
      </c>
      <c r="R289" s="26"/>
      <c r="S289" s="39">
        <f t="shared" si="45"/>
        <v>-986.58000000000129</v>
      </c>
      <c r="T289" s="7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396" t="s">
        <v>371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/>
      <c r="J290" s="14"/>
      <c r="K290" s="73"/>
      <c r="L290" s="39">
        <v>10967.330000000002</v>
      </c>
      <c r="M290" s="14"/>
      <c r="N290" s="61">
        <f t="shared" si="44"/>
        <v>10967.330000000002</v>
      </c>
      <c r="O290" s="14"/>
      <c r="P290" s="73"/>
      <c r="Q290" s="39">
        <v>14019.160000000003</v>
      </c>
      <c r="R290" s="14"/>
      <c r="S290" s="61">
        <f t="shared" si="45"/>
        <v>-3051.8300000000017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396" t="s">
        <v>372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44"/>
        <v>0</v>
      </c>
      <c r="O291" s="26"/>
      <c r="P291" s="7"/>
      <c r="Q291" s="72">
        <v>0</v>
      </c>
      <c r="R291" s="26"/>
      <c r="S291" s="39">
        <f t="shared" si="45"/>
        <v>0</v>
      </c>
      <c r="T291" s="7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396" t="s">
        <v>373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/>
      <c r="J292" s="26"/>
      <c r="K292" s="7"/>
      <c r="L292" s="39">
        <v>4864.8400000000038</v>
      </c>
      <c r="M292" s="26"/>
      <c r="N292" s="39">
        <f t="shared" si="44"/>
        <v>4864.8400000000038</v>
      </c>
      <c r="O292" s="26"/>
      <c r="P292" s="7"/>
      <c r="Q292" s="39">
        <v>5690.52</v>
      </c>
      <c r="R292" s="26"/>
      <c r="S292" s="39">
        <f t="shared" si="45"/>
        <v>-825.67999999999665</v>
      </c>
      <c r="T292" s="7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396" t="s">
        <v>374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/>
      <c r="J293" s="26"/>
      <c r="K293" s="7"/>
      <c r="L293" s="39">
        <v>0</v>
      </c>
      <c r="M293" s="26"/>
      <c r="N293" s="39">
        <f t="shared" si="44"/>
        <v>0</v>
      </c>
      <c r="O293" s="26"/>
      <c r="P293" s="7"/>
      <c r="Q293" s="39">
        <v>0</v>
      </c>
      <c r="R293" s="26"/>
      <c r="S293" s="39">
        <f t="shared" si="45"/>
        <v>0</v>
      </c>
      <c r="T293" s="7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396" t="s">
        <v>375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/>
      <c r="J294" s="26"/>
      <c r="K294" s="7"/>
      <c r="L294" s="39">
        <v>383.20999999999913</v>
      </c>
      <c r="M294" s="26"/>
      <c r="N294" s="39">
        <f t="shared" si="44"/>
        <v>383.20999999999913</v>
      </c>
      <c r="O294" s="26"/>
      <c r="P294" s="55"/>
      <c r="Q294" s="39">
        <v>1456.2999999999993</v>
      </c>
      <c r="R294" s="26"/>
      <c r="S294" s="39">
        <f t="shared" si="45"/>
        <v>-1073.0900000000001</v>
      </c>
      <c r="T294" s="7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396" t="s">
        <v>376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/>
      <c r="J295" s="26"/>
      <c r="K295" s="7"/>
      <c r="L295" s="39">
        <v>815.04999999999973</v>
      </c>
      <c r="M295" s="26"/>
      <c r="N295" s="39">
        <f t="shared" si="44"/>
        <v>815.04999999999973</v>
      </c>
      <c r="O295" s="26"/>
      <c r="P295" s="7"/>
      <c r="Q295" s="39">
        <v>1083.7699999999995</v>
      </c>
      <c r="R295" s="26"/>
      <c r="S295" s="39">
        <f t="shared" si="45"/>
        <v>-268.7199999999998</v>
      </c>
      <c r="T295" s="7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396" t="s">
        <v>377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/>
      <c r="J296" s="26"/>
      <c r="K296" s="7"/>
      <c r="L296" s="39">
        <v>897.17000000000007</v>
      </c>
      <c r="M296" s="26"/>
      <c r="N296" s="39">
        <f t="shared" si="44"/>
        <v>897.17000000000007</v>
      </c>
      <c r="O296" s="26"/>
      <c r="P296" s="7"/>
      <c r="Q296" s="39">
        <v>715.44</v>
      </c>
      <c r="R296" s="26"/>
      <c r="S296" s="39">
        <f t="shared" si="45"/>
        <v>181.73000000000002</v>
      </c>
      <c r="T296" s="7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396" t="s">
        <v>378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/>
      <c r="J297" s="26"/>
      <c r="K297" s="7"/>
      <c r="L297" s="39">
        <v>1044.5299999999997</v>
      </c>
      <c r="M297" s="26"/>
      <c r="N297" s="39">
        <f t="shared" si="44"/>
        <v>1044.5299999999997</v>
      </c>
      <c r="O297" s="26"/>
      <c r="P297" s="7"/>
      <c r="Q297" s="39">
        <v>1464.94</v>
      </c>
      <c r="R297" s="26"/>
      <c r="S297" s="39">
        <f t="shared" si="45"/>
        <v>-420.41000000000031</v>
      </c>
      <c r="T297" s="7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396" t="s">
        <v>379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/>
      <c r="J298" s="26"/>
      <c r="K298" s="7"/>
      <c r="L298" s="39">
        <v>542.5</v>
      </c>
      <c r="M298" s="26"/>
      <c r="N298" s="39">
        <f t="shared" si="44"/>
        <v>542.5</v>
      </c>
      <c r="O298" s="26"/>
      <c r="P298" s="7"/>
      <c r="Q298" s="39">
        <v>1293.6000000000004</v>
      </c>
      <c r="R298" s="26"/>
      <c r="S298" s="39">
        <f t="shared" si="45"/>
        <v>-751.10000000000036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396" t="s">
        <v>380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/>
      <c r="J299" s="26"/>
      <c r="K299" s="7"/>
      <c r="L299" s="39">
        <v>1450.5499999999993</v>
      </c>
      <c r="M299" s="26"/>
      <c r="N299" s="39">
        <f t="shared" si="44"/>
        <v>1450.5499999999993</v>
      </c>
      <c r="O299" s="26"/>
      <c r="P299" s="7"/>
      <c r="Q299" s="39">
        <v>346.23</v>
      </c>
      <c r="R299" s="26"/>
      <c r="S299" s="39">
        <f t="shared" si="45"/>
        <v>1104.3199999999993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396" t="s">
        <v>360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/>
      <c r="J300" s="26"/>
      <c r="K300" s="7"/>
      <c r="L300" s="39">
        <v>0</v>
      </c>
      <c r="M300" s="26"/>
      <c r="N300" s="39">
        <f t="shared" si="44"/>
        <v>0</v>
      </c>
      <c r="O300" s="26"/>
      <c r="P300" s="7"/>
      <c r="Q300" s="39">
        <v>0</v>
      </c>
      <c r="R300" s="26"/>
      <c r="S300" s="39">
        <f t="shared" si="45"/>
        <v>0</v>
      </c>
      <c r="T300" s="7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396" t="s">
        <v>360</v>
      </c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/>
      <c r="J301" s="26"/>
      <c r="K301" s="7"/>
      <c r="L301" s="39">
        <v>0</v>
      </c>
      <c r="M301" s="26"/>
      <c r="N301" s="39">
        <f t="shared" si="44"/>
        <v>0</v>
      </c>
      <c r="O301" s="26"/>
      <c r="P301" s="7"/>
      <c r="Q301" s="39">
        <v>0</v>
      </c>
      <c r="R301" s="26"/>
      <c r="S301" s="39">
        <f t="shared" si="45"/>
        <v>0</v>
      </c>
      <c r="T301" s="7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396" t="s">
        <v>360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/>
      <c r="J302" s="26"/>
      <c r="K302" s="7"/>
      <c r="L302" s="39">
        <v>0</v>
      </c>
      <c r="M302" s="26"/>
      <c r="N302" s="39">
        <f t="shared" si="44"/>
        <v>0</v>
      </c>
      <c r="O302" s="26"/>
      <c r="P302" s="7"/>
      <c r="Q302" s="39">
        <v>0</v>
      </c>
      <c r="R302" s="26"/>
      <c r="S302" s="39">
        <f t="shared" si="45"/>
        <v>0</v>
      </c>
      <c r="T302" s="7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396"/>
      <c r="B303" s="7"/>
      <c r="C303" s="139" t="s">
        <v>63</v>
      </c>
      <c r="D303" s="62" t="s">
        <v>92</v>
      </c>
      <c r="E303" s="63" t="e">
        <f>F303/F$268</f>
        <v>#DIV/0!</v>
      </c>
      <c r="F303" s="64">
        <f>+SUM(F285:F302)</f>
        <v>0</v>
      </c>
      <c r="G303" s="65"/>
      <c r="H303" s="63"/>
      <c r="I303" s="64"/>
      <c r="J303" s="65" t="s">
        <v>92</v>
      </c>
      <c r="K303" s="63">
        <f>L303/L$268</f>
        <v>0.39685429317087884</v>
      </c>
      <c r="L303" s="64">
        <f>+SUM(L285:L302)</f>
        <v>44987.740000000005</v>
      </c>
      <c r="M303" s="66"/>
      <c r="N303" s="64">
        <f t="shared" si="44"/>
        <v>44987.740000000005</v>
      </c>
      <c r="O303" s="65" t="s">
        <v>92</v>
      </c>
      <c r="P303" s="63">
        <f>Q303/Q$268</f>
        <v>0.32375083830039708</v>
      </c>
      <c r="Q303" s="64">
        <f>+SUM(Q285:Q302)</f>
        <v>43862.560000000005</v>
      </c>
      <c r="R303" s="67"/>
      <c r="S303" s="64">
        <f t="shared" si="45"/>
        <v>1125.1800000000003</v>
      </c>
      <c r="T303" s="7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396"/>
      <c r="B305" s="7"/>
      <c r="C305" s="139" t="s">
        <v>64</v>
      </c>
      <c r="D305" s="62" t="s">
        <v>38</v>
      </c>
      <c r="E305" s="63" t="e">
        <f>F305/F$268</f>
        <v>#DIV/0!</v>
      </c>
      <c r="F305" s="64">
        <f>F284+F303</f>
        <v>0</v>
      </c>
      <c r="G305" s="65"/>
      <c r="H305" s="63"/>
      <c r="I305" s="64"/>
      <c r="J305" s="65" t="s">
        <v>38</v>
      </c>
      <c r="K305" s="63">
        <f>L305/L$268</f>
        <v>1.1808802598075092</v>
      </c>
      <c r="L305" s="64">
        <f>L284+L303</f>
        <v>133865.59000000003</v>
      </c>
      <c r="M305" s="66"/>
      <c r="N305" s="64">
        <f>L305-F305</f>
        <v>133865.59000000003</v>
      </c>
      <c r="O305" s="65" t="s">
        <v>38</v>
      </c>
      <c r="P305" s="63">
        <f>Q305/Q$268</f>
        <v>1.112780503099811</v>
      </c>
      <c r="Q305" s="64">
        <f>Q284+Q303</f>
        <v>150762.23999999999</v>
      </c>
      <c r="R305" s="67"/>
      <c r="S305" s="64">
        <f>L305-Q305</f>
        <v>-16896.649999999965</v>
      </c>
      <c r="T305" s="7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396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/>
      <c r="J307" s="279"/>
      <c r="K307" s="278"/>
      <c r="L307" s="138">
        <f>L268-L305</f>
        <v>-20504.740000000063</v>
      </c>
      <c r="M307" s="280"/>
      <c r="N307" s="138">
        <f>L307-F307</f>
        <v>-20504.740000000063</v>
      </c>
      <c r="O307" s="279"/>
      <c r="P307" s="278"/>
      <c r="Q307" s="138">
        <f>Q268-Q305</f>
        <v>-15279.780000000028</v>
      </c>
      <c r="R307" s="281"/>
      <c r="S307" s="138">
        <f>L307-Q307</f>
        <v>-5224.9600000000355</v>
      </c>
      <c r="T307" s="7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Réalisé, Juillet 2026</v>
      </c>
      <c r="T310" s="1"/>
      <c r="U310" s="381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426" t="s">
        <v>5</v>
      </c>
      <c r="E312" s="427"/>
      <c r="F312" s="425"/>
      <c r="G312" s="424"/>
      <c r="H312" s="427"/>
      <c r="I312" s="425"/>
      <c r="J312" s="424" t="s">
        <v>7</v>
      </c>
      <c r="K312" s="427"/>
      <c r="L312" s="425"/>
      <c r="M312" s="424" t="s">
        <v>210</v>
      </c>
      <c r="N312" s="425"/>
      <c r="O312" s="426" t="s">
        <v>8</v>
      </c>
      <c r="P312" s="427"/>
      <c r="Q312" s="425"/>
      <c r="R312" s="424" t="s">
        <v>211</v>
      </c>
      <c r="S312" s="425"/>
      <c r="T312" s="94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396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214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396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396" t="s">
        <v>381</v>
      </c>
      <c r="B315" s="7" t="s">
        <v>94</v>
      </c>
      <c r="C315" s="26" t="s">
        <v>382</v>
      </c>
      <c r="D315" s="269">
        <v>0</v>
      </c>
      <c r="E315" s="55">
        <v>0</v>
      </c>
      <c r="F315" s="55">
        <v>0</v>
      </c>
      <c r="G315" s="98"/>
      <c r="H315" s="55"/>
      <c r="I315" s="55"/>
      <c r="J315" s="40"/>
      <c r="K315" s="55">
        <v>93980.909999999989</v>
      </c>
      <c r="L315" s="39">
        <v>36783.020000000033</v>
      </c>
      <c r="M315" s="99">
        <f>IFERROR((K315-E315)/E315,0)</f>
        <v>0</v>
      </c>
      <c r="N315" s="39">
        <f>L315-F315</f>
        <v>36783.020000000033</v>
      </c>
      <c r="O315" s="40"/>
      <c r="P315" s="55">
        <v>197825.65000000008</v>
      </c>
      <c r="Q315" s="39">
        <v>77781.34000000004</v>
      </c>
      <c r="R315" s="99">
        <f>IF(O315=0,0,J315/O315)</f>
        <v>0</v>
      </c>
      <c r="S315" s="39">
        <f>L315-Q315</f>
        <v>-40998.320000000007</v>
      </c>
      <c r="T315" s="53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396" t="s">
        <v>383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0.3913882085202201</v>
      </c>
      <c r="M316" s="99"/>
      <c r="N316" s="39">
        <f>IFERROR(N315/M315,0)</f>
        <v>0</v>
      </c>
      <c r="O316" s="40"/>
      <c r="P316" s="7"/>
      <c r="Q316" s="100">
        <f>IFERROR(Q315/P315,0)</f>
        <v>0.39318126845532925</v>
      </c>
      <c r="R316" s="40"/>
      <c r="S316" s="100">
        <f>IF(Q315=0,0,(S315/Q315))</f>
        <v>-0.52709711609493981</v>
      </c>
      <c r="T316" s="53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396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396" t="s">
        <v>384</v>
      </c>
      <c r="B318" s="7" t="s">
        <v>94</v>
      </c>
      <c r="C318" s="71" t="s">
        <v>385</v>
      </c>
      <c r="D318" s="105">
        <v>0</v>
      </c>
      <c r="E318" s="55">
        <v>0</v>
      </c>
      <c r="F318" s="55">
        <v>0</v>
      </c>
      <c r="G318" s="131"/>
      <c r="H318" s="55"/>
      <c r="I318" s="55"/>
      <c r="J318" s="106"/>
      <c r="K318" s="105">
        <v>7242.7199999999993</v>
      </c>
      <c r="L318" s="72">
        <v>2757.2199999999984</v>
      </c>
      <c r="M318" s="109">
        <f>IFERROR((K318-E318)/E318,0)</f>
        <v>0</v>
      </c>
      <c r="N318" s="72">
        <f>L318-F318</f>
        <v>2757.2199999999984</v>
      </c>
      <c r="O318" s="106"/>
      <c r="P318" s="105">
        <v>6317.7599999999984</v>
      </c>
      <c r="Q318" s="72">
        <v>3318.6899999999987</v>
      </c>
      <c r="R318" s="99">
        <f>IF(O318=0,0,J318/O318)</f>
        <v>0</v>
      </c>
      <c r="S318" s="39">
        <f>L318-Q318</f>
        <v>-561.47000000000025</v>
      </c>
      <c r="T318" s="93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396" t="s">
        <v>383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/>
      <c r="J319" s="40"/>
      <c r="K319" s="7"/>
      <c r="L319" s="100">
        <f>IFERROR(L318/K318,0)</f>
        <v>0.38068847062981848</v>
      </c>
      <c r="M319" s="99"/>
      <c r="N319" s="39">
        <f>IFERROR(N318/F318,0)</f>
        <v>0</v>
      </c>
      <c r="O319" s="40"/>
      <c r="P319" s="7"/>
      <c r="Q319" s="100">
        <f>IFERROR(Q318/P318,0)</f>
        <v>0.52529535784835124</v>
      </c>
      <c r="R319" s="40"/>
      <c r="S319" s="100">
        <f>IF(Q318=0,0,(S318/Q318))</f>
        <v>-0.16918422630616312</v>
      </c>
      <c r="T319" s="93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396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396" t="s">
        <v>386</v>
      </c>
      <c r="B321" s="7" t="s">
        <v>94</v>
      </c>
      <c r="C321" s="71" t="s">
        <v>387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38211.5</v>
      </c>
      <c r="L321" s="39">
        <v>20863.55</v>
      </c>
      <c r="M321" s="99">
        <f>IFERROR((K321-E321)/E321,0)</f>
        <v>0</v>
      </c>
      <c r="N321" s="72">
        <f>L321-F321</f>
        <v>20863.55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20863.55</v>
      </c>
      <c r="T321" s="93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396" t="s">
        <v>383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0.54600185807937396</v>
      </c>
      <c r="M322" s="27"/>
      <c r="N322" s="28">
        <f>IF(L321=0,0,N321/L321)</f>
        <v>1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93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396"/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6"/>
      <c r="N323" s="327"/>
      <c r="O323" s="248"/>
      <c r="P323" s="249"/>
      <c r="Q323" s="108"/>
      <c r="R323" s="328"/>
      <c r="S323" s="108"/>
      <c r="T323" s="93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396"/>
      <c r="B324" s="7" t="s">
        <v>94</v>
      </c>
      <c r="C324" s="26" t="s">
        <v>388</v>
      </c>
      <c r="D324" s="7"/>
      <c r="E324" s="7"/>
      <c r="F324" s="100"/>
      <c r="G324" s="26"/>
      <c r="H324" s="7"/>
      <c r="I324" s="100"/>
      <c r="J324" s="26"/>
      <c r="K324" s="7"/>
      <c r="L324" s="39">
        <v>-1014.1700000000001</v>
      </c>
      <c r="M324" s="27"/>
      <c r="N324" s="28"/>
      <c r="O324" s="26"/>
      <c r="P324" s="7"/>
      <c r="Q324" s="39">
        <v>4037.2300000000005</v>
      </c>
      <c r="R324" s="99">
        <f>IF(O324=0,0,J324/O324)</f>
        <v>0</v>
      </c>
      <c r="S324" s="39">
        <f>L324-Q324</f>
        <v>-5051.4000000000005</v>
      </c>
      <c r="T324" s="93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396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396" t="s">
        <v>389</v>
      </c>
      <c r="B326" s="7" t="s">
        <v>94</v>
      </c>
      <c r="C326" s="264" t="s">
        <v>390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46">K318+K321+K315</f>
        <v>139435.13</v>
      </c>
      <c r="L326" s="43">
        <f>L318+L321+L315+L324</f>
        <v>59389.620000000032</v>
      </c>
      <c r="M326" s="44" t="e">
        <f>L327-F327</f>
        <v>#DIV/0!</v>
      </c>
      <c r="N326" s="43">
        <f>L326-F326</f>
        <v>59389.620000000032</v>
      </c>
      <c r="O326" s="44"/>
      <c r="P326" s="41">
        <f t="shared" ref="P326" si="47">P318+P321+P315</f>
        <v>204143.41000000009</v>
      </c>
      <c r="Q326" s="43">
        <f>Q318+Q321+Q315+Q324</f>
        <v>85137.260000000038</v>
      </c>
      <c r="R326" s="44"/>
      <c r="S326" s="43">
        <f>L326-Q326</f>
        <v>-25747.640000000007</v>
      </c>
      <c r="T326" s="7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396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>
        <f>L326/K326</f>
        <v>0.42593010814419602</v>
      </c>
      <c r="M327" s="48"/>
      <c r="N327" s="49" t="e">
        <f>N326/F326</f>
        <v>#DIV/0!</v>
      </c>
      <c r="O327" s="47"/>
      <c r="P327" s="265"/>
      <c r="Q327" s="267">
        <f>Q326/P326</f>
        <v>0.41704633032239447</v>
      </c>
      <c r="R327" s="48"/>
      <c r="S327" s="267">
        <f>S326/Q326</f>
        <v>-0.30242504868021353</v>
      </c>
      <c r="T327" s="7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396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396" t="s">
        <v>391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396" t="s">
        <v>392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/>
      <c r="J330" s="26"/>
      <c r="K330" s="7"/>
      <c r="L330" s="39">
        <v>11074.989999999998</v>
      </c>
      <c r="M330" s="26"/>
      <c r="N330" s="39">
        <f t="shared" ref="N330:N360" si="48">L330-F330</f>
        <v>11074.989999999998</v>
      </c>
      <c r="O330" s="26"/>
      <c r="P330" s="7"/>
      <c r="Q330" s="39">
        <v>8498.7099999999991</v>
      </c>
      <c r="R330" s="26"/>
      <c r="S330" s="39">
        <f t="shared" ref="S330:S361" si="49">L330-Q330</f>
        <v>2576.2799999999988</v>
      </c>
      <c r="T330" s="7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396" t="s">
        <v>393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/>
      <c r="J331" s="26"/>
      <c r="K331" s="7"/>
      <c r="L331" s="39">
        <v>5325.2300000000032</v>
      </c>
      <c r="M331" s="26"/>
      <c r="N331" s="39">
        <f t="shared" si="48"/>
        <v>5325.2300000000032</v>
      </c>
      <c r="O331" s="26"/>
      <c r="P331" s="7"/>
      <c r="Q331" s="39">
        <v>5927.8699999999953</v>
      </c>
      <c r="R331" s="26"/>
      <c r="S331" s="39">
        <f t="shared" si="49"/>
        <v>-602.63999999999214</v>
      </c>
      <c r="T331" s="7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396" t="s">
        <v>394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/>
      <c r="J332" s="71"/>
      <c r="K332" s="69"/>
      <c r="L332" s="72">
        <v>1259.8000000000002</v>
      </c>
      <c r="M332" s="71"/>
      <c r="N332" s="72">
        <f t="shared" si="48"/>
        <v>1259.8000000000002</v>
      </c>
      <c r="O332" s="71"/>
      <c r="P332" s="69"/>
      <c r="Q332" s="72">
        <v>76</v>
      </c>
      <c r="R332" s="71"/>
      <c r="S332" s="72">
        <f t="shared" si="49"/>
        <v>1183.8000000000002</v>
      </c>
      <c r="T332" s="7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396" t="s">
        <v>395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/>
      <c r="J333" s="26"/>
      <c r="K333" s="7"/>
      <c r="L333" s="39">
        <v>0</v>
      </c>
      <c r="M333" s="26"/>
      <c r="N333" s="39">
        <f t="shared" si="48"/>
        <v>0</v>
      </c>
      <c r="O333" s="26"/>
      <c r="P333" s="7"/>
      <c r="Q333" s="39">
        <v>0</v>
      </c>
      <c r="R333" s="26"/>
      <c r="S333" s="39">
        <f t="shared" si="49"/>
        <v>0</v>
      </c>
      <c r="T333" s="7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396" t="s">
        <v>396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/>
      <c r="J334" s="26"/>
      <c r="K334" s="7"/>
      <c r="L334" s="39">
        <v>0</v>
      </c>
      <c r="M334" s="26"/>
      <c r="N334" s="39">
        <f t="shared" si="48"/>
        <v>0</v>
      </c>
      <c r="O334" s="26"/>
      <c r="P334" s="7"/>
      <c r="Q334" s="39">
        <v>0</v>
      </c>
      <c r="R334" s="26"/>
      <c r="S334" s="39">
        <f t="shared" si="49"/>
        <v>0</v>
      </c>
      <c r="T334" s="7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396" t="s">
        <v>396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/>
      <c r="J335" s="26"/>
      <c r="K335" s="7"/>
      <c r="L335" s="39">
        <v>0</v>
      </c>
      <c r="M335" s="26"/>
      <c r="N335" s="39">
        <f t="shared" si="48"/>
        <v>0</v>
      </c>
      <c r="O335" s="26"/>
      <c r="P335" s="7"/>
      <c r="Q335" s="39">
        <v>0</v>
      </c>
      <c r="R335" s="26"/>
      <c r="S335" s="39">
        <f t="shared" si="49"/>
        <v>0</v>
      </c>
      <c r="T335" s="7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396" t="s">
        <v>396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/>
      <c r="J336" s="26"/>
      <c r="K336" s="7"/>
      <c r="L336" s="39">
        <v>0</v>
      </c>
      <c r="M336" s="26"/>
      <c r="N336" s="39">
        <f t="shared" si="48"/>
        <v>0</v>
      </c>
      <c r="O336" s="26"/>
      <c r="P336" s="7"/>
      <c r="Q336" s="39">
        <v>0</v>
      </c>
      <c r="R336" s="26"/>
      <c r="S336" s="39">
        <f t="shared" si="49"/>
        <v>0</v>
      </c>
      <c r="T336" s="7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396" t="s">
        <v>397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/>
      <c r="J337" s="26"/>
      <c r="K337" s="7"/>
      <c r="L337" s="39">
        <v>5230.25</v>
      </c>
      <c r="M337" s="26"/>
      <c r="N337" s="39">
        <f t="shared" si="48"/>
        <v>5230.25</v>
      </c>
      <c r="O337" s="26"/>
      <c r="P337" s="7"/>
      <c r="Q337" s="39">
        <v>3416.2299999999996</v>
      </c>
      <c r="R337" s="26"/>
      <c r="S337" s="39">
        <f t="shared" si="49"/>
        <v>1814.0200000000004</v>
      </c>
      <c r="T337" s="7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396" t="s">
        <v>398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/>
      <c r="J338" s="71"/>
      <c r="K338" s="69"/>
      <c r="L338" s="72">
        <v>6536.739999999998</v>
      </c>
      <c r="M338" s="71"/>
      <c r="N338" s="72">
        <f t="shared" si="48"/>
        <v>6536.739999999998</v>
      </c>
      <c r="O338" s="71"/>
      <c r="P338" s="69"/>
      <c r="Q338" s="72">
        <v>4038.2000000000007</v>
      </c>
      <c r="R338" s="71"/>
      <c r="S338" s="72">
        <f t="shared" si="49"/>
        <v>2498.5399999999972</v>
      </c>
      <c r="T338" s="7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396" t="s">
        <v>399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/>
      <c r="J339" s="26"/>
      <c r="K339" s="7"/>
      <c r="L339" s="39">
        <v>1278.3199999999997</v>
      </c>
      <c r="M339" s="26"/>
      <c r="N339" s="39">
        <f t="shared" si="48"/>
        <v>1278.3199999999997</v>
      </c>
      <c r="O339" s="26"/>
      <c r="P339" s="7"/>
      <c r="Q339" s="39">
        <v>2285.9899999999998</v>
      </c>
      <c r="R339" s="26"/>
      <c r="S339" s="39">
        <f t="shared" si="49"/>
        <v>-1007.6700000000001</v>
      </c>
      <c r="T339" s="7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396" t="s">
        <v>400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/>
      <c r="J340" s="26"/>
      <c r="K340" s="7"/>
      <c r="L340" s="39">
        <v>1367.4899999999998</v>
      </c>
      <c r="M340" s="26"/>
      <c r="N340" s="39">
        <f t="shared" si="48"/>
        <v>1367.4899999999998</v>
      </c>
      <c r="O340" s="26"/>
      <c r="P340" s="7"/>
      <c r="Q340" s="39">
        <v>28.150000000000006</v>
      </c>
      <c r="R340" s="26"/>
      <c r="S340" s="39">
        <f t="shared" si="49"/>
        <v>1339.3399999999997</v>
      </c>
      <c r="T340" s="7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396" t="s">
        <v>396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/>
      <c r="J341" s="14"/>
      <c r="K341" s="73"/>
      <c r="L341" s="39">
        <v>0</v>
      </c>
      <c r="M341" s="14"/>
      <c r="N341" s="61">
        <f t="shared" si="48"/>
        <v>0</v>
      </c>
      <c r="O341" s="14"/>
      <c r="P341" s="73"/>
      <c r="Q341" s="39">
        <v>0</v>
      </c>
      <c r="R341" s="14"/>
      <c r="S341" s="61">
        <f t="shared" si="49"/>
        <v>0</v>
      </c>
      <c r="T341" s="7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396" t="s">
        <v>401</v>
      </c>
      <c r="B342" s="7" t="s">
        <v>94</v>
      </c>
      <c r="C342" s="139" t="s">
        <v>48</v>
      </c>
      <c r="D342" s="62" t="s">
        <v>38</v>
      </c>
      <c r="E342" s="63" t="e">
        <f>F342/F$326</f>
        <v>#DIV/0!</v>
      </c>
      <c r="F342" s="64">
        <f>+SUM(F330:F341)</f>
        <v>0</v>
      </c>
      <c r="G342" s="65"/>
      <c r="H342" s="63"/>
      <c r="I342" s="64"/>
      <c r="J342" s="65" t="s">
        <v>38</v>
      </c>
      <c r="K342" s="63">
        <f>IF(L326=0,0,L342/L$326)</f>
        <v>0.54004083541871428</v>
      </c>
      <c r="L342" s="64">
        <f>+SUM(L330:L341)</f>
        <v>32072.82</v>
      </c>
      <c r="M342" s="66"/>
      <c r="N342" s="64">
        <f t="shared" si="48"/>
        <v>32072.82</v>
      </c>
      <c r="O342" s="65" t="s">
        <v>38</v>
      </c>
      <c r="P342" s="63">
        <f>IF(Q326=0,0,Q342/Q$326)</f>
        <v>0.28508258311343332</v>
      </c>
      <c r="Q342" s="64">
        <f>+SUM(Q330:Q341)</f>
        <v>24271.149999999994</v>
      </c>
      <c r="R342" s="67"/>
      <c r="S342" s="64">
        <f t="shared" si="49"/>
        <v>7801.6700000000055</v>
      </c>
      <c r="T342" s="7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396" t="s">
        <v>402</v>
      </c>
      <c r="B343" s="7" t="s">
        <v>94</v>
      </c>
      <c r="C343" s="329" t="s">
        <v>49</v>
      </c>
      <c r="D343" s="54"/>
      <c r="E343" s="7"/>
      <c r="F343" s="19">
        <v>0</v>
      </c>
      <c r="G343" s="56"/>
      <c r="H343" s="7"/>
      <c r="I343" s="19"/>
      <c r="J343" s="26"/>
      <c r="K343" s="7"/>
      <c r="L343" s="39">
        <v>443.38999999999953</v>
      </c>
      <c r="M343" s="26"/>
      <c r="N343" s="39">
        <f t="shared" si="48"/>
        <v>443.38999999999953</v>
      </c>
      <c r="O343" s="26"/>
      <c r="P343" s="7"/>
      <c r="Q343" s="39">
        <v>-11.639999999999919</v>
      </c>
      <c r="R343" s="26"/>
      <c r="S343" s="39">
        <f t="shared" si="49"/>
        <v>455.02999999999946</v>
      </c>
      <c r="T343" s="7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396" t="s">
        <v>403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/>
      <c r="J344" s="26"/>
      <c r="K344" s="7"/>
      <c r="L344" s="39">
        <v>4970.3599999999997</v>
      </c>
      <c r="M344" s="26"/>
      <c r="N344" s="39">
        <f t="shared" si="48"/>
        <v>4970.3599999999997</v>
      </c>
      <c r="O344" s="26"/>
      <c r="P344" s="7"/>
      <c r="Q344" s="39">
        <v>2239.5899999999983</v>
      </c>
      <c r="R344" s="26"/>
      <c r="S344" s="39">
        <f t="shared" si="49"/>
        <v>2730.7700000000013</v>
      </c>
      <c r="T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396" t="s">
        <v>404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/>
      <c r="J345" s="14"/>
      <c r="K345" s="73"/>
      <c r="L345" s="39">
        <v>-85.25</v>
      </c>
      <c r="M345" s="14"/>
      <c r="N345" s="61">
        <f t="shared" si="48"/>
        <v>-85.25</v>
      </c>
      <c r="O345" s="14"/>
      <c r="P345" s="73"/>
      <c r="Q345" s="39">
        <v>2576.38</v>
      </c>
      <c r="R345" s="14"/>
      <c r="S345" s="61">
        <f t="shared" si="49"/>
        <v>-2661.63</v>
      </c>
      <c r="T345" s="7"/>
      <c r="U345" s="6" t="s">
        <v>1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396" t="s">
        <v>405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/>
      <c r="J346" s="26"/>
      <c r="K346" s="7"/>
      <c r="L346" s="72">
        <v>1799.9799999999996</v>
      </c>
      <c r="M346" s="26"/>
      <c r="N346" s="39">
        <f t="shared" si="48"/>
        <v>1799.9799999999996</v>
      </c>
      <c r="O346" s="26"/>
      <c r="P346" s="7"/>
      <c r="Q346" s="72">
        <v>775.07999999999993</v>
      </c>
      <c r="R346" s="26"/>
      <c r="S346" s="39">
        <f t="shared" si="49"/>
        <v>1024.8999999999996</v>
      </c>
      <c r="T346" s="7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396" t="s">
        <v>406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/>
      <c r="J347" s="26"/>
      <c r="K347" s="7"/>
      <c r="L347" s="39">
        <v>185.01000000000022</v>
      </c>
      <c r="M347" s="26"/>
      <c r="N347" s="39">
        <f t="shared" si="48"/>
        <v>185.01000000000022</v>
      </c>
      <c r="O347" s="26"/>
      <c r="P347" s="7"/>
      <c r="Q347" s="39">
        <v>505.36000000000058</v>
      </c>
      <c r="R347" s="26"/>
      <c r="S347" s="39">
        <f t="shared" si="49"/>
        <v>-320.35000000000036</v>
      </c>
      <c r="T347" s="7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396" t="s">
        <v>407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/>
      <c r="J348" s="14"/>
      <c r="K348" s="73"/>
      <c r="L348" s="39">
        <v>2154.3499999999985</v>
      </c>
      <c r="M348" s="14"/>
      <c r="N348" s="61">
        <f t="shared" si="48"/>
        <v>2154.3499999999985</v>
      </c>
      <c r="O348" s="14"/>
      <c r="P348" s="73"/>
      <c r="Q348" s="39">
        <v>5101.5300000000007</v>
      </c>
      <c r="R348" s="14"/>
      <c r="S348" s="61">
        <f t="shared" si="49"/>
        <v>-2947.1800000000021</v>
      </c>
      <c r="T348" s="7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396" t="s">
        <v>408</v>
      </c>
      <c r="B349" s="7" t="s">
        <v>94</v>
      </c>
      <c r="C349" s="329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48"/>
        <v>0</v>
      </c>
      <c r="O349" s="26"/>
      <c r="P349" s="7"/>
      <c r="Q349" s="72">
        <v>0</v>
      </c>
      <c r="R349" s="26"/>
      <c r="S349" s="39">
        <f t="shared" si="49"/>
        <v>0</v>
      </c>
      <c r="T349" s="7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396" t="s">
        <v>409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/>
      <c r="J350" s="26"/>
      <c r="K350" s="7"/>
      <c r="L350" s="39">
        <v>6322.929999999993</v>
      </c>
      <c r="M350" s="26"/>
      <c r="N350" s="39">
        <f t="shared" si="48"/>
        <v>6322.929999999993</v>
      </c>
      <c r="O350" s="26"/>
      <c r="P350" s="7"/>
      <c r="Q350" s="39">
        <v>2281.880000000001</v>
      </c>
      <c r="R350" s="26"/>
      <c r="S350" s="39">
        <f t="shared" si="49"/>
        <v>4041.049999999992</v>
      </c>
      <c r="T350" s="7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396" t="s">
        <v>410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/>
      <c r="J351" s="26"/>
      <c r="K351" s="7"/>
      <c r="L351" s="39">
        <v>0</v>
      </c>
      <c r="M351" s="26"/>
      <c r="N351" s="39">
        <f t="shared" si="48"/>
        <v>0</v>
      </c>
      <c r="O351" s="26"/>
      <c r="P351" s="7"/>
      <c r="Q351" s="39">
        <v>0</v>
      </c>
      <c r="R351" s="26"/>
      <c r="S351" s="39">
        <f t="shared" si="49"/>
        <v>0</v>
      </c>
      <c r="T351" s="7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396" t="s">
        <v>411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/>
      <c r="J352" s="26"/>
      <c r="K352" s="7"/>
      <c r="L352" s="39">
        <v>101.4699999999998</v>
      </c>
      <c r="M352" s="26"/>
      <c r="N352" s="39">
        <f t="shared" si="48"/>
        <v>101.4699999999998</v>
      </c>
      <c r="O352" s="26"/>
      <c r="P352" s="7"/>
      <c r="Q352" s="39">
        <v>181.46000000000004</v>
      </c>
      <c r="R352" s="26"/>
      <c r="S352" s="39">
        <f t="shared" si="49"/>
        <v>-79.990000000000236</v>
      </c>
      <c r="T352" s="7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396" t="s">
        <v>412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/>
      <c r="J353" s="26"/>
      <c r="K353" s="7"/>
      <c r="L353" s="39">
        <v>210.09000000000003</v>
      </c>
      <c r="M353" s="26"/>
      <c r="N353" s="39">
        <f t="shared" si="48"/>
        <v>210.09000000000003</v>
      </c>
      <c r="O353" s="26"/>
      <c r="P353" s="7"/>
      <c r="Q353" s="39">
        <v>342.92000000000007</v>
      </c>
      <c r="R353" s="26"/>
      <c r="S353" s="39">
        <f t="shared" si="49"/>
        <v>-132.83000000000004</v>
      </c>
      <c r="T353" s="7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396" t="s">
        <v>413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/>
      <c r="J354" s="26"/>
      <c r="K354" s="7"/>
      <c r="L354" s="39">
        <v>294</v>
      </c>
      <c r="M354" s="26"/>
      <c r="N354" s="39">
        <f t="shared" si="48"/>
        <v>294</v>
      </c>
      <c r="O354" s="26"/>
      <c r="P354" s="7"/>
      <c r="Q354" s="39">
        <v>227.16000000000008</v>
      </c>
      <c r="R354" s="26"/>
      <c r="S354" s="39">
        <f t="shared" si="49"/>
        <v>66.839999999999918</v>
      </c>
      <c r="T354" s="7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396" t="s">
        <v>414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/>
      <c r="J355" s="26"/>
      <c r="K355" s="7"/>
      <c r="L355" s="39">
        <v>1351.7199999999993</v>
      </c>
      <c r="M355" s="26"/>
      <c r="N355" s="39">
        <f t="shared" si="48"/>
        <v>1351.7199999999993</v>
      </c>
      <c r="O355" s="26"/>
      <c r="P355" s="7"/>
      <c r="Q355" s="39">
        <v>1368.8900000000003</v>
      </c>
      <c r="R355" s="26"/>
      <c r="S355" s="39">
        <f t="shared" si="49"/>
        <v>-17.170000000000982</v>
      </c>
      <c r="T355" s="7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396" t="s">
        <v>415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/>
      <c r="J356" s="26"/>
      <c r="K356" s="7"/>
      <c r="L356" s="39">
        <v>473</v>
      </c>
      <c r="M356" s="26"/>
      <c r="N356" s="39">
        <f t="shared" si="48"/>
        <v>473</v>
      </c>
      <c r="O356" s="26"/>
      <c r="P356" s="7"/>
      <c r="Q356" s="39">
        <v>0</v>
      </c>
      <c r="R356" s="26"/>
      <c r="S356" s="39">
        <f t="shared" si="49"/>
        <v>473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396" t="s">
        <v>416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/>
      <c r="J357" s="26"/>
      <c r="K357" s="7"/>
      <c r="L357" s="39">
        <v>478.5300000000002</v>
      </c>
      <c r="M357" s="26"/>
      <c r="N357" s="39">
        <f t="shared" si="48"/>
        <v>478.5300000000002</v>
      </c>
      <c r="O357" s="26"/>
      <c r="P357" s="7"/>
      <c r="Q357" s="39">
        <v>107.16000000000008</v>
      </c>
      <c r="R357" s="26"/>
      <c r="S357" s="39">
        <f t="shared" si="49"/>
        <v>371.37000000000012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396" t="s">
        <v>396</v>
      </c>
      <c r="B358" s="7" t="s">
        <v>94</v>
      </c>
      <c r="C358" s="271" t="s">
        <v>417</v>
      </c>
      <c r="D358" s="54"/>
      <c r="E358" s="7"/>
      <c r="F358" s="19">
        <v>0</v>
      </c>
      <c r="G358" s="56"/>
      <c r="H358" s="7"/>
      <c r="I358" s="19"/>
      <c r="J358" s="26"/>
      <c r="K358" s="7"/>
      <c r="L358" s="39">
        <v>3075.0000000000009</v>
      </c>
      <c r="M358" s="26"/>
      <c r="N358" s="39">
        <f t="shared" si="48"/>
        <v>3075.0000000000009</v>
      </c>
      <c r="O358" s="26"/>
      <c r="P358" s="7"/>
      <c r="Q358" s="39">
        <v>0</v>
      </c>
      <c r="R358" s="26"/>
      <c r="S358" s="39">
        <f t="shared" si="49"/>
        <v>3075.0000000000009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 thickTop="1">
      <c r="A359" s="396" t="s">
        <v>396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/>
      <c r="J359" s="26"/>
      <c r="K359" s="7"/>
      <c r="L359" s="39">
        <v>0</v>
      </c>
      <c r="M359" s="26"/>
      <c r="N359" s="39">
        <f t="shared" si="48"/>
        <v>0</v>
      </c>
      <c r="O359" s="26"/>
      <c r="P359" s="7"/>
      <c r="Q359" s="39">
        <v>0</v>
      </c>
      <c r="R359" s="26"/>
      <c r="S359" s="39">
        <f t="shared" si="49"/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 thickBot="1">
      <c r="A360" s="396" t="s">
        <v>396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/>
      <c r="J360" s="26"/>
      <c r="K360" s="7"/>
      <c r="L360" s="39">
        <v>0</v>
      </c>
      <c r="M360" s="26"/>
      <c r="N360" s="39">
        <f t="shared" si="48"/>
        <v>0</v>
      </c>
      <c r="O360" s="26"/>
      <c r="P360" s="7"/>
      <c r="Q360" s="39">
        <v>0</v>
      </c>
      <c r="R360" s="26"/>
      <c r="S360" s="39">
        <f t="shared" si="49"/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396"/>
      <c r="B361" s="7"/>
      <c r="C361" s="139" t="s">
        <v>63</v>
      </c>
      <c r="D361" s="62" t="s">
        <v>38</v>
      </c>
      <c r="E361" s="63" t="e">
        <f>F361/F$318</f>
        <v>#DIV/0!</v>
      </c>
      <c r="F361" s="64">
        <f>+SUM(F343:F360)</f>
        <v>0</v>
      </c>
      <c r="G361" s="65"/>
      <c r="H361" s="63"/>
      <c r="I361" s="64"/>
      <c r="J361" s="65" t="s">
        <v>38</v>
      </c>
      <c r="K361" s="63">
        <f>L361/L$326</f>
        <v>0.3666394902004757</v>
      </c>
      <c r="L361" s="64">
        <f>+SUM(L343:L360)</f>
        <v>21774.579999999987</v>
      </c>
      <c r="M361" s="66"/>
      <c r="N361" s="64">
        <f>+SUM(N343:N360)</f>
        <v>21774.579999999987</v>
      </c>
      <c r="O361" s="65" t="s">
        <v>38</v>
      </c>
      <c r="P361" s="63">
        <f>Q361/Q$326</f>
        <v>0.18435841134657133</v>
      </c>
      <c r="Q361" s="64">
        <f>+SUM(Q343:Q360)</f>
        <v>15695.77</v>
      </c>
      <c r="R361" s="67"/>
      <c r="S361" s="64">
        <f t="shared" si="49"/>
        <v>6078.8099999999868</v>
      </c>
      <c r="T361" s="7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396"/>
      <c r="B363" s="7"/>
      <c r="C363" s="139" t="s">
        <v>64</v>
      </c>
      <c r="D363" s="62" t="s">
        <v>38</v>
      </c>
      <c r="E363" s="63" t="e">
        <f>F363/F$318</f>
        <v>#DIV/0!</v>
      </c>
      <c r="F363" s="64">
        <f>F342+F361</f>
        <v>0</v>
      </c>
      <c r="G363" s="65"/>
      <c r="H363" s="63"/>
      <c r="I363" s="64"/>
      <c r="J363" s="65" t="s">
        <v>38</v>
      </c>
      <c r="K363" s="63">
        <f>L363/L$326</f>
        <v>0.90668032561918999</v>
      </c>
      <c r="L363" s="64">
        <f>L342+L361</f>
        <v>53847.399999999987</v>
      </c>
      <c r="M363" s="66"/>
      <c r="N363" s="64">
        <f>L363-F363</f>
        <v>53847.399999999987</v>
      </c>
      <c r="O363" s="65" t="s">
        <v>38</v>
      </c>
      <c r="P363" s="63">
        <f>Q363/Q$326</f>
        <v>0.4694409944600047</v>
      </c>
      <c r="Q363" s="64">
        <f>Q342+Q361</f>
        <v>39966.92</v>
      </c>
      <c r="R363" s="67"/>
      <c r="S363" s="64">
        <f>L363-Q363</f>
        <v>13880.479999999989</v>
      </c>
      <c r="T363" s="7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396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/>
      <c r="J365" s="279"/>
      <c r="K365" s="278"/>
      <c r="L365" s="138">
        <f>L326-L363</f>
        <v>5542.2200000000448</v>
      </c>
      <c r="M365" s="280"/>
      <c r="N365" s="138">
        <f>L365-F365</f>
        <v>5542.2200000000448</v>
      </c>
      <c r="O365" s="279"/>
      <c r="P365" s="278"/>
      <c r="Q365" s="138">
        <f>Q326-Q363</f>
        <v>45170.34000000004</v>
      </c>
      <c r="R365" s="281"/>
      <c r="S365" s="138">
        <f>L365-Q365</f>
        <v>-39628.119999999995</v>
      </c>
      <c r="T365" s="7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Réalisé, Juillet 2026</v>
      </c>
      <c r="T367" s="7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426" t="s">
        <v>5</v>
      </c>
      <c r="E369" s="427"/>
      <c r="F369" s="425"/>
      <c r="G369" s="424"/>
      <c r="H369" s="427"/>
      <c r="I369" s="425"/>
      <c r="J369" s="424" t="s">
        <v>7</v>
      </c>
      <c r="K369" s="427"/>
      <c r="L369" s="425"/>
      <c r="M369" s="424" t="s">
        <v>210</v>
      </c>
      <c r="N369" s="425"/>
      <c r="O369" s="426" t="s">
        <v>8</v>
      </c>
      <c r="P369" s="427"/>
      <c r="Q369" s="425"/>
      <c r="R369" s="424" t="s">
        <v>211</v>
      </c>
      <c r="S369" s="425"/>
      <c r="T369" s="7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396" t="s">
        <v>98</v>
      </c>
      <c r="B370" s="7" t="s">
        <v>98</v>
      </c>
      <c r="C370" s="330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214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396" t="s">
        <v>418</v>
      </c>
      <c r="B371" s="7" t="s">
        <v>98</v>
      </c>
      <c r="C371" s="331" t="s">
        <v>100</v>
      </c>
      <c r="D371" s="55">
        <v>0</v>
      </c>
      <c r="E371" s="93">
        <f>IF(D371=0,0,F371/D371)</f>
        <v>0</v>
      </c>
      <c r="F371" s="39">
        <v>0</v>
      </c>
      <c r="G371" s="55"/>
      <c r="H371" s="93"/>
      <c r="I371" s="39"/>
      <c r="J371" s="55">
        <v>52184.369999999995</v>
      </c>
      <c r="K371" s="93">
        <f t="shared" ref="K371:K380" si="50">IF(J371&lt;=0,0,L371/J371)</f>
        <v>0.34519895516607735</v>
      </c>
      <c r="L371" s="39">
        <v>18013.989999999991</v>
      </c>
      <c r="M371" s="99" t="e">
        <f t="shared" ref="M371:M377" si="51">(+J371-D371)/D371</f>
        <v>#DIV/0!</v>
      </c>
      <c r="N371" s="39">
        <f t="shared" ref="N371:N380" si="52">L371-F371</f>
        <v>18013.989999999991</v>
      </c>
      <c r="O371" s="55">
        <v>56069.880000000005</v>
      </c>
      <c r="P371" s="93">
        <f t="shared" ref="P371:P380" si="53">IF(O371&lt;=0,0,Q371/O371)</f>
        <v>0.37750749600320249</v>
      </c>
      <c r="Q371" s="39">
        <v>21166.800000000047</v>
      </c>
      <c r="R371" s="99">
        <f t="shared" ref="R371:R380" si="54">IF(O371=0,0,(J371-O371)/O371)</f>
        <v>-6.9297633595791691E-2</v>
      </c>
      <c r="S371" s="39">
        <f t="shared" ref="S371:S380" si="55">L371-Q371</f>
        <v>-3152.8100000000559</v>
      </c>
      <c r="T371" s="7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396" t="s">
        <v>419</v>
      </c>
      <c r="B372" s="7" t="s">
        <v>98</v>
      </c>
      <c r="C372" s="331" t="s">
        <v>101</v>
      </c>
      <c r="D372" s="55">
        <v>0</v>
      </c>
      <c r="E372" s="93">
        <f t="shared" ref="E372:E379" si="56">IF(D372=0,0,F372/D372)</f>
        <v>0</v>
      </c>
      <c r="F372" s="39">
        <v>0</v>
      </c>
      <c r="G372" s="55"/>
      <c r="H372" s="93"/>
      <c r="I372" s="39"/>
      <c r="J372" s="55">
        <v>0</v>
      </c>
      <c r="K372" s="93">
        <f t="shared" si="50"/>
        <v>0</v>
      </c>
      <c r="L372" s="39">
        <v>0</v>
      </c>
      <c r="M372" s="99" t="e">
        <f t="shared" si="51"/>
        <v>#DIV/0!</v>
      </c>
      <c r="N372" s="39">
        <f t="shared" si="52"/>
        <v>0</v>
      </c>
      <c r="O372" s="55">
        <v>0</v>
      </c>
      <c r="P372" s="93">
        <f t="shared" si="53"/>
        <v>0</v>
      </c>
      <c r="Q372" s="39">
        <v>0</v>
      </c>
      <c r="R372" s="99">
        <f t="shared" si="54"/>
        <v>0</v>
      </c>
      <c r="S372" s="39">
        <f t="shared" si="55"/>
        <v>0</v>
      </c>
      <c r="T372" s="7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396" t="s">
        <v>420</v>
      </c>
      <c r="B373" s="7" t="s">
        <v>98</v>
      </c>
      <c r="C373" s="331" t="s">
        <v>102</v>
      </c>
      <c r="D373" s="55">
        <v>0</v>
      </c>
      <c r="E373" s="93">
        <f t="shared" si="56"/>
        <v>0</v>
      </c>
      <c r="F373" s="39">
        <v>0</v>
      </c>
      <c r="G373" s="55"/>
      <c r="H373" s="93"/>
      <c r="I373" s="39"/>
      <c r="J373" s="55">
        <v>53893.919999999984</v>
      </c>
      <c r="K373" s="93">
        <f t="shared" si="50"/>
        <v>0.27661450493859052</v>
      </c>
      <c r="L373" s="39">
        <v>14907.839999999997</v>
      </c>
      <c r="M373" s="99" t="e">
        <f t="shared" si="51"/>
        <v>#DIV/0!</v>
      </c>
      <c r="N373" s="39">
        <f t="shared" si="52"/>
        <v>14907.839999999997</v>
      </c>
      <c r="O373" s="55">
        <v>33016.760000000009</v>
      </c>
      <c r="P373" s="93">
        <f t="shared" si="53"/>
        <v>0.30535976273868232</v>
      </c>
      <c r="Q373" s="39">
        <v>10081.99000000002</v>
      </c>
      <c r="R373" s="99">
        <f t="shared" si="54"/>
        <v>0.63232007017042158</v>
      </c>
      <c r="S373" s="39">
        <f t="shared" si="55"/>
        <v>4825.8499999999767</v>
      </c>
      <c r="T373" s="7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396" t="s">
        <v>421</v>
      </c>
      <c r="B374" s="7" t="s">
        <v>98</v>
      </c>
      <c r="C374" s="331" t="s">
        <v>103</v>
      </c>
      <c r="D374" s="55">
        <v>0</v>
      </c>
      <c r="E374" s="93">
        <f t="shared" si="56"/>
        <v>0</v>
      </c>
      <c r="F374" s="39">
        <v>0</v>
      </c>
      <c r="G374" s="55"/>
      <c r="H374" s="93"/>
      <c r="I374" s="39"/>
      <c r="J374" s="55">
        <v>42397.270000000019</v>
      </c>
      <c r="K374" s="93">
        <f t="shared" si="50"/>
        <v>0.30565269886480945</v>
      </c>
      <c r="L374" s="39">
        <v>12958.840000000026</v>
      </c>
      <c r="M374" s="99" t="e">
        <f t="shared" si="51"/>
        <v>#DIV/0!</v>
      </c>
      <c r="N374" s="39">
        <f t="shared" si="52"/>
        <v>12958.840000000026</v>
      </c>
      <c r="O374" s="55">
        <v>63526.010000000009</v>
      </c>
      <c r="P374" s="93">
        <f t="shared" si="53"/>
        <v>0.30675702755454093</v>
      </c>
      <c r="Q374" s="39">
        <v>19487.050000000047</v>
      </c>
      <c r="R374" s="99">
        <f t="shared" si="54"/>
        <v>-0.33259982800745691</v>
      </c>
      <c r="S374" s="39">
        <f t="shared" si="55"/>
        <v>-6528.210000000021</v>
      </c>
      <c r="T374" s="7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396" t="s">
        <v>422</v>
      </c>
      <c r="B375" s="7" t="s">
        <v>98</v>
      </c>
      <c r="C375" s="331" t="s">
        <v>104</v>
      </c>
      <c r="D375" s="55">
        <v>0</v>
      </c>
      <c r="E375" s="93">
        <f t="shared" si="56"/>
        <v>0</v>
      </c>
      <c r="F375" s="39">
        <v>0</v>
      </c>
      <c r="G375" s="55"/>
      <c r="H375" s="93"/>
      <c r="I375" s="39"/>
      <c r="J375" s="55">
        <v>53971.639999999985</v>
      </c>
      <c r="K375" s="93">
        <f t="shared" si="50"/>
        <v>0.16372709815747619</v>
      </c>
      <c r="L375" s="39">
        <v>8836.6199999999662</v>
      </c>
      <c r="M375" s="99" t="e">
        <f t="shared" si="51"/>
        <v>#DIV/0!</v>
      </c>
      <c r="N375" s="39">
        <f t="shared" si="52"/>
        <v>8836.6199999999662</v>
      </c>
      <c r="O375" s="55">
        <v>22368.210000000021</v>
      </c>
      <c r="P375" s="93">
        <f t="shared" si="53"/>
        <v>0.18856403798068874</v>
      </c>
      <c r="Q375" s="39">
        <v>4217.8400000000256</v>
      </c>
      <c r="R375" s="99">
        <f t="shared" si="54"/>
        <v>1.4128725543975102</v>
      </c>
      <c r="S375" s="39">
        <f t="shared" si="55"/>
        <v>4618.7799999999406</v>
      </c>
      <c r="T375" s="7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396" t="s">
        <v>423</v>
      </c>
      <c r="B376" s="7" t="s">
        <v>98</v>
      </c>
      <c r="C376" s="331" t="s">
        <v>105</v>
      </c>
      <c r="D376" s="55">
        <v>0</v>
      </c>
      <c r="E376" s="93">
        <f t="shared" si="56"/>
        <v>0</v>
      </c>
      <c r="F376" s="39">
        <v>0</v>
      </c>
      <c r="G376" s="55"/>
      <c r="H376" s="93"/>
      <c r="I376" s="39"/>
      <c r="J376" s="55">
        <v>138088.62</v>
      </c>
      <c r="K376" s="93">
        <f t="shared" si="50"/>
        <v>0.1735633247692677</v>
      </c>
      <c r="L376" s="39">
        <v>23967.119999999995</v>
      </c>
      <c r="M376" s="99" t="e">
        <f t="shared" si="51"/>
        <v>#DIV/0!</v>
      </c>
      <c r="N376" s="39">
        <f t="shared" si="52"/>
        <v>23967.119999999995</v>
      </c>
      <c r="O376" s="55">
        <v>130237.25</v>
      </c>
      <c r="P376" s="93">
        <f t="shared" si="53"/>
        <v>0.28734997091845788</v>
      </c>
      <c r="Q376" s="39">
        <v>37423.669999999925</v>
      </c>
      <c r="R376" s="99">
        <f t="shared" si="54"/>
        <v>6.0285133477557269E-2</v>
      </c>
      <c r="S376" s="39">
        <f t="shared" si="55"/>
        <v>-13456.54999999993</v>
      </c>
      <c r="T376" s="7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396" t="s">
        <v>424</v>
      </c>
      <c r="B377" s="7" t="s">
        <v>98</v>
      </c>
      <c r="C377" s="331" t="s">
        <v>19</v>
      </c>
      <c r="D377" s="55">
        <v>0</v>
      </c>
      <c r="E377" s="93">
        <f>IF(D377=0,0,F377/D377)</f>
        <v>0</v>
      </c>
      <c r="F377" s="39">
        <v>0</v>
      </c>
      <c r="G377" s="55"/>
      <c r="H377" s="93"/>
      <c r="I377" s="39"/>
      <c r="J377" s="55">
        <v>0</v>
      </c>
      <c r="K377" s="93">
        <f t="shared" si="50"/>
        <v>0</v>
      </c>
      <c r="L377" s="39">
        <v>0</v>
      </c>
      <c r="M377" s="99" t="e">
        <f t="shared" si="51"/>
        <v>#DIV/0!</v>
      </c>
      <c r="N377" s="39">
        <f t="shared" si="52"/>
        <v>0</v>
      </c>
      <c r="O377" s="55">
        <v>0</v>
      </c>
      <c r="P377" s="93">
        <f t="shared" si="53"/>
        <v>0</v>
      </c>
      <c r="Q377" s="39">
        <v>0</v>
      </c>
      <c r="R377" s="99">
        <f t="shared" si="54"/>
        <v>0</v>
      </c>
      <c r="S377" s="39">
        <f t="shared" si="55"/>
        <v>0</v>
      </c>
      <c r="T377" s="7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396" t="s">
        <v>425</v>
      </c>
      <c r="B378" s="7" t="s">
        <v>98</v>
      </c>
      <c r="C378" s="331" t="s">
        <v>106</v>
      </c>
      <c r="D378" s="55">
        <v>0</v>
      </c>
      <c r="E378" s="93">
        <f t="shared" si="56"/>
        <v>0</v>
      </c>
      <c r="F378" s="39">
        <v>0</v>
      </c>
      <c r="G378" s="55"/>
      <c r="H378" s="93"/>
      <c r="I378" s="39"/>
      <c r="J378" s="55">
        <v>0</v>
      </c>
      <c r="K378" s="93">
        <f t="shared" si="50"/>
        <v>0</v>
      </c>
      <c r="L378" s="39">
        <v>16459.300000000003</v>
      </c>
      <c r="M378" s="99"/>
      <c r="N378" s="39">
        <f t="shared" si="52"/>
        <v>16459.300000000003</v>
      </c>
      <c r="O378" s="55">
        <v>0</v>
      </c>
      <c r="P378" s="93">
        <f t="shared" si="53"/>
        <v>0</v>
      </c>
      <c r="Q378" s="39">
        <v>15825.900000000001</v>
      </c>
      <c r="R378" s="99">
        <f t="shared" si="54"/>
        <v>0</v>
      </c>
      <c r="S378" s="39">
        <f t="shared" si="55"/>
        <v>633.40000000000146</v>
      </c>
      <c r="T378" s="7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396" t="s">
        <v>426</v>
      </c>
      <c r="B379" s="7" t="s">
        <v>98</v>
      </c>
      <c r="C379" s="332" t="s">
        <v>107</v>
      </c>
      <c r="D379" s="55">
        <v>0</v>
      </c>
      <c r="E379" s="93">
        <f t="shared" si="56"/>
        <v>0</v>
      </c>
      <c r="F379" s="39">
        <v>0</v>
      </c>
      <c r="G379" s="55"/>
      <c r="H379" s="93"/>
      <c r="I379" s="39"/>
      <c r="J379" s="55">
        <v>0</v>
      </c>
      <c r="K379" s="93">
        <f t="shared" si="50"/>
        <v>0</v>
      </c>
      <c r="L379" s="39">
        <v>1121.25</v>
      </c>
      <c r="M379" s="99"/>
      <c r="N379" s="39">
        <f t="shared" si="52"/>
        <v>1121.25</v>
      </c>
      <c r="O379" s="55">
        <v>0</v>
      </c>
      <c r="P379" s="93">
        <f t="shared" si="53"/>
        <v>0</v>
      </c>
      <c r="Q379" s="39">
        <v>2669.91</v>
      </c>
      <c r="R379" s="99">
        <f t="shared" si="54"/>
        <v>0</v>
      </c>
      <c r="S379" s="39">
        <f t="shared" si="55"/>
        <v>-1548.6599999999999</v>
      </c>
      <c r="T379" s="7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396" t="s">
        <v>427</v>
      </c>
      <c r="B380" s="7" t="s">
        <v>98</v>
      </c>
      <c r="C380" s="333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/>
      <c r="H380" s="133"/>
      <c r="I380" s="123"/>
      <c r="J380" s="122">
        <f t="shared" ref="J380" si="57">SUM(J371:J379)</f>
        <v>340535.81999999995</v>
      </c>
      <c r="K380" s="133">
        <f t="shared" si="50"/>
        <v>0.28268673762425345</v>
      </c>
      <c r="L380" s="123">
        <f>SUM(L371:L379)</f>
        <v>96264.959999999977</v>
      </c>
      <c r="M380" s="134" t="e">
        <f>(+J380-D380)/D380</f>
        <v>#DIV/0!</v>
      </c>
      <c r="N380" s="123">
        <f t="shared" si="52"/>
        <v>96264.959999999977</v>
      </c>
      <c r="O380" s="122">
        <f t="shared" ref="O380" si="58">SUM(O371:O379)</f>
        <v>305218.11000000004</v>
      </c>
      <c r="P380" s="133">
        <f t="shared" si="53"/>
        <v>0.36325878565986808</v>
      </c>
      <c r="Q380" s="123">
        <f>SUM(Q371:Q379)</f>
        <v>110873.16000000006</v>
      </c>
      <c r="R380" s="134">
        <f t="shared" si="54"/>
        <v>0.11571302240224179</v>
      </c>
      <c r="S380" s="123">
        <f t="shared" si="55"/>
        <v>-14608.200000000084</v>
      </c>
      <c r="T380" s="7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396" t="s">
        <v>98</v>
      </c>
      <c r="B381" s="7" t="s">
        <v>98</v>
      </c>
      <c r="C381" s="331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-0.13175596330076708</v>
      </c>
      <c r="T381" s="7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396" t="s">
        <v>98</v>
      </c>
      <c r="B382" s="7" t="s">
        <v>98</v>
      </c>
      <c r="C382" s="332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396" t="s">
        <v>428</v>
      </c>
      <c r="B383" s="7" t="s">
        <v>98</v>
      </c>
      <c r="C383" s="331" t="s">
        <v>109</v>
      </c>
      <c r="D383" s="55">
        <v>0</v>
      </c>
      <c r="E383" s="93">
        <f>IF(D383=0,0,F383/D383)</f>
        <v>0</v>
      </c>
      <c r="F383" s="72">
        <v>0</v>
      </c>
      <c r="G383" s="55"/>
      <c r="H383" s="93"/>
      <c r="I383" s="72"/>
      <c r="J383" s="55">
        <v>12605.040000000008</v>
      </c>
      <c r="K383" s="93">
        <f t="shared" ref="K383:K385" si="59">IF(J383&lt;=0,0,L383/J383)</f>
        <v>0.15404076464652242</v>
      </c>
      <c r="L383" s="72">
        <v>1941.6900000000023</v>
      </c>
      <c r="M383" s="99" t="e">
        <f>(+J383-D383)/D383</f>
        <v>#DIV/0!</v>
      </c>
      <c r="N383" s="39">
        <f>L383-F383</f>
        <v>1941.6900000000023</v>
      </c>
      <c r="O383" s="55">
        <v>3728.3699999999953</v>
      </c>
      <c r="P383" s="93">
        <f t="shared" ref="P383:P385" si="60">IF(O383&lt;=0,0,Q383/O383)</f>
        <v>0.12058620791391333</v>
      </c>
      <c r="Q383" s="72">
        <v>449.58999999999651</v>
      </c>
      <c r="R383" s="99">
        <f t="shared" ref="R383:R385" si="61">IF(O383=0,0,(J383-O383)/O383)</f>
        <v>2.3808447123005561</v>
      </c>
      <c r="S383" s="39">
        <f t="shared" ref="S383:S385" si="62">L383-Q383</f>
        <v>1492.1000000000058</v>
      </c>
      <c r="T383" s="7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396" t="s">
        <v>429</v>
      </c>
      <c r="B384" s="7" t="s">
        <v>98</v>
      </c>
      <c r="C384" s="332" t="s">
        <v>110</v>
      </c>
      <c r="D384" s="55">
        <v>0</v>
      </c>
      <c r="E384" s="93">
        <f>IF(D384=0,0,F384/D384)</f>
        <v>0</v>
      </c>
      <c r="F384" s="61">
        <v>0</v>
      </c>
      <c r="G384" s="55"/>
      <c r="H384" s="93"/>
      <c r="I384" s="61"/>
      <c r="J384" s="55">
        <v>12665.369999999995</v>
      </c>
      <c r="K384" s="93">
        <f t="shared" si="59"/>
        <v>0.2730761122651762</v>
      </c>
      <c r="L384" s="61">
        <v>3458.6099999999933</v>
      </c>
      <c r="M384" s="99" t="e">
        <f>(+J384-D384)/D384</f>
        <v>#DIV/0!</v>
      </c>
      <c r="N384" s="39">
        <f>L384-F384</f>
        <v>3458.6099999999933</v>
      </c>
      <c r="O384" s="55">
        <v>14938.45</v>
      </c>
      <c r="P384" s="93">
        <f t="shared" si="60"/>
        <v>0.25565704607907774</v>
      </c>
      <c r="Q384" s="61">
        <v>3819.119999999999</v>
      </c>
      <c r="R384" s="99">
        <f t="shared" si="61"/>
        <v>-0.152163042350445</v>
      </c>
      <c r="S384" s="39">
        <f t="shared" si="62"/>
        <v>-360.51000000000568</v>
      </c>
      <c r="T384" s="7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396" t="s">
        <v>430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/>
      <c r="H385" s="133"/>
      <c r="I385" s="123"/>
      <c r="J385" s="124">
        <f t="shared" ref="J385" si="63">J380+J383+J384</f>
        <v>365806.23</v>
      </c>
      <c r="K385" s="133">
        <f t="shared" si="59"/>
        <v>0.27792107313207864</v>
      </c>
      <c r="L385" s="123">
        <f>L380+L383+L384</f>
        <v>101665.25999999998</v>
      </c>
      <c r="M385" s="134" t="e">
        <f>(+J385-D385)/D385</f>
        <v>#DIV/0!</v>
      </c>
      <c r="N385" s="123">
        <f>L385-F385</f>
        <v>101665.25999999998</v>
      </c>
      <c r="O385" s="124">
        <f t="shared" ref="O385" si="64">O380+O383+O384</f>
        <v>323884.93000000005</v>
      </c>
      <c r="P385" s="133">
        <f t="shared" si="60"/>
        <v>0.35550240018885731</v>
      </c>
      <c r="Q385" s="123">
        <f>Q380+Q383+Q384</f>
        <v>115141.87000000005</v>
      </c>
      <c r="R385" s="134">
        <f t="shared" si="61"/>
        <v>0.12943269697666984</v>
      </c>
      <c r="S385" s="123">
        <f t="shared" si="62"/>
        <v>-13476.610000000073</v>
      </c>
      <c r="T385" s="7"/>
      <c r="U385" s="9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396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-0.11704352204806182</v>
      </c>
      <c r="T386" s="7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396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7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396" t="s">
        <v>431</v>
      </c>
      <c r="B388" s="7" t="s">
        <v>98</v>
      </c>
      <c r="C388" s="14" t="s">
        <v>112</v>
      </c>
      <c r="D388" s="58">
        <v>0</v>
      </c>
      <c r="E388" s="136">
        <f>IF(D388=0,0,F388/D388)</f>
        <v>0</v>
      </c>
      <c r="F388" s="61">
        <v>0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>
        <f>IF(F388=0,0,(+L388-F388)/F388)</f>
        <v>0</v>
      </c>
      <c r="N388" s="61">
        <f>L388-F388</f>
        <v>0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7"/>
      <c r="U388" s="9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396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396" t="s">
        <v>432</v>
      </c>
      <c r="B390" s="7" t="s">
        <v>98</v>
      </c>
      <c r="C390" s="264" t="s">
        <v>113</v>
      </c>
      <c r="D390" s="41">
        <f>D385+D388</f>
        <v>0</v>
      </c>
      <c r="E390" s="42">
        <f>IF(D390&lt;=0,0,F390/D390)</f>
        <v>0</v>
      </c>
      <c r="F390" s="43">
        <f>F385+F388</f>
        <v>0</v>
      </c>
      <c r="G390" s="44"/>
      <c r="H390" s="42"/>
      <c r="I390" s="43"/>
      <c r="J390" s="44">
        <f>J385+J388</f>
        <v>365806.23</v>
      </c>
      <c r="K390" s="137">
        <f>IF(J390&lt;=0,0,L390/J390)</f>
        <v>0.27792107313207864</v>
      </c>
      <c r="L390" s="43">
        <f>L385+L388</f>
        <v>101665.25999999998</v>
      </c>
      <c r="M390" s="44" t="e">
        <f>(+J390-D390)/D390</f>
        <v>#DIV/0!</v>
      </c>
      <c r="N390" s="43">
        <f>L390-F390</f>
        <v>101665.25999999998</v>
      </c>
      <c r="O390" s="44">
        <f t="shared" ref="O390" si="65">O385+O388</f>
        <v>323884.93000000005</v>
      </c>
      <c r="P390" s="137">
        <f>IF(O390&lt;=0,0,Q390/O390)</f>
        <v>0.35550240018885731</v>
      </c>
      <c r="Q390" s="43">
        <f>Q385+Q388</f>
        <v>115141.87000000005</v>
      </c>
      <c r="R390" s="129">
        <f>IF(O390=0,0,(J390-O390)/O390)</f>
        <v>0.12943269697666984</v>
      </c>
      <c r="S390" s="43">
        <f>L390-Q390</f>
        <v>-13476.610000000073</v>
      </c>
      <c r="T390" s="7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396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-0.11704352204806182</v>
      </c>
      <c r="T391" s="7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396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396" t="s">
        <v>433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396" t="s">
        <v>434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/>
      <c r="J394" s="26"/>
      <c r="K394" s="7"/>
      <c r="L394" s="39">
        <v>6751.489999999998</v>
      </c>
      <c r="M394" s="26"/>
      <c r="N394" s="21">
        <f t="shared" ref="N394:N424" si="66">L394-F394</f>
        <v>6751.489999999998</v>
      </c>
      <c r="O394" s="26"/>
      <c r="P394" s="7"/>
      <c r="Q394" s="39">
        <v>1404.4300000000003</v>
      </c>
      <c r="R394" s="26"/>
      <c r="S394" s="39">
        <f t="shared" ref="S394:S424" si="67">L394-Q394</f>
        <v>5347.0599999999977</v>
      </c>
      <c r="T394" s="7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396" t="s">
        <v>435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/>
      <c r="J395" s="26"/>
      <c r="K395" s="7"/>
      <c r="L395" s="39">
        <v>2577.3100000000013</v>
      </c>
      <c r="M395" s="26"/>
      <c r="N395" s="21">
        <f t="shared" si="66"/>
        <v>2577.3100000000013</v>
      </c>
      <c r="O395" s="26"/>
      <c r="P395" s="7"/>
      <c r="Q395" s="39">
        <v>2792.75</v>
      </c>
      <c r="R395" s="26"/>
      <c r="S395" s="39">
        <f t="shared" si="67"/>
        <v>-215.43999999999869</v>
      </c>
      <c r="T395" s="7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396" t="s">
        <v>436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/>
      <c r="J396" s="71"/>
      <c r="K396" s="69"/>
      <c r="L396" s="72">
        <v>13617.36</v>
      </c>
      <c r="M396" s="71"/>
      <c r="N396" s="36">
        <f t="shared" si="66"/>
        <v>13617.36</v>
      </c>
      <c r="O396" s="71"/>
      <c r="P396" s="69"/>
      <c r="Q396" s="72">
        <v>20178.540000000008</v>
      </c>
      <c r="R396" s="71"/>
      <c r="S396" s="72">
        <f t="shared" si="67"/>
        <v>-6561.1800000000076</v>
      </c>
      <c r="T396" s="7"/>
      <c r="U396" s="385"/>
      <c r="V396" s="334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396" t="s">
        <v>437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/>
      <c r="J397" s="26"/>
      <c r="K397" s="7"/>
      <c r="L397" s="39">
        <v>0</v>
      </c>
      <c r="M397" s="26"/>
      <c r="N397" s="21">
        <f t="shared" si="66"/>
        <v>0</v>
      </c>
      <c r="O397" s="26"/>
      <c r="P397" s="7"/>
      <c r="Q397" s="39">
        <v>0</v>
      </c>
      <c r="R397" s="26"/>
      <c r="S397" s="39">
        <f t="shared" si="67"/>
        <v>0</v>
      </c>
      <c r="T397" s="7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396" t="s">
        <v>424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/>
      <c r="J398" s="26"/>
      <c r="K398" s="7"/>
      <c r="L398" s="39">
        <v>0</v>
      </c>
      <c r="M398" s="26"/>
      <c r="N398" s="21">
        <f t="shared" si="66"/>
        <v>0</v>
      </c>
      <c r="O398" s="26"/>
      <c r="P398" s="7"/>
      <c r="Q398" s="39">
        <v>0</v>
      </c>
      <c r="R398" s="26"/>
      <c r="S398" s="39">
        <f t="shared" si="67"/>
        <v>0</v>
      </c>
      <c r="T398" s="7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396" t="s">
        <v>424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/>
      <c r="J399" s="26"/>
      <c r="K399" s="7"/>
      <c r="L399" s="39">
        <v>0</v>
      </c>
      <c r="M399" s="26"/>
      <c r="N399" s="21">
        <f t="shared" si="66"/>
        <v>0</v>
      </c>
      <c r="O399" s="26"/>
      <c r="P399" s="7"/>
      <c r="Q399" s="39">
        <v>0</v>
      </c>
      <c r="R399" s="26"/>
      <c r="S399" s="39">
        <f t="shared" si="67"/>
        <v>0</v>
      </c>
      <c r="T399" s="7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 thickTop="1" thickBot="1">
      <c r="A400" s="396" t="s">
        <v>424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/>
      <c r="J400" s="26"/>
      <c r="K400" s="7"/>
      <c r="L400" s="39">
        <v>0</v>
      </c>
      <c r="M400" s="26"/>
      <c r="N400" s="21">
        <f t="shared" si="66"/>
        <v>0</v>
      </c>
      <c r="O400" s="26"/>
      <c r="P400" s="7"/>
      <c r="Q400" s="39">
        <v>0</v>
      </c>
      <c r="R400" s="26"/>
      <c r="S400" s="39">
        <f t="shared" si="67"/>
        <v>0</v>
      </c>
      <c r="T400" s="7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396" t="s">
        <v>438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/>
      <c r="J401" s="26"/>
      <c r="K401" s="7"/>
      <c r="L401" s="39">
        <v>2899.6400000000012</v>
      </c>
      <c r="M401" s="26"/>
      <c r="N401" s="21">
        <f t="shared" si="66"/>
        <v>2899.6400000000012</v>
      </c>
      <c r="O401" s="26"/>
      <c r="P401" s="7"/>
      <c r="Q401" s="39">
        <v>2698.4500000000007</v>
      </c>
      <c r="R401" s="26"/>
      <c r="S401" s="39">
        <f t="shared" si="67"/>
        <v>201.19000000000051</v>
      </c>
      <c r="T401" s="7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396" t="s">
        <v>439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/>
      <c r="J402" s="71"/>
      <c r="K402" s="69"/>
      <c r="L402" s="72">
        <v>3642.5799999999981</v>
      </c>
      <c r="M402" s="71"/>
      <c r="N402" s="36">
        <f t="shared" si="66"/>
        <v>3642.5799999999981</v>
      </c>
      <c r="O402" s="71"/>
      <c r="P402" s="69"/>
      <c r="Q402" s="72">
        <v>2709.0499999999993</v>
      </c>
      <c r="R402" s="71"/>
      <c r="S402" s="72">
        <f t="shared" si="67"/>
        <v>933.52999999999884</v>
      </c>
      <c r="T402" s="7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396" t="s">
        <v>440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/>
      <c r="J403" s="26"/>
      <c r="K403" s="7"/>
      <c r="L403" s="39">
        <v>435.78000000000065</v>
      </c>
      <c r="M403" s="26"/>
      <c r="N403" s="21">
        <f t="shared" si="66"/>
        <v>435.78000000000065</v>
      </c>
      <c r="O403" s="26"/>
      <c r="P403" s="7"/>
      <c r="Q403" s="39">
        <v>871.92000000000007</v>
      </c>
      <c r="R403" s="26"/>
      <c r="S403" s="39">
        <f t="shared" si="67"/>
        <v>-436.13999999999942</v>
      </c>
      <c r="T403" s="7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396" t="s">
        <v>441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/>
      <c r="J404" s="26"/>
      <c r="K404" s="7"/>
      <c r="L404" s="39">
        <v>985.23999999999978</v>
      </c>
      <c r="M404" s="26"/>
      <c r="N404" s="21">
        <f t="shared" si="66"/>
        <v>985.23999999999978</v>
      </c>
      <c r="O404" s="26"/>
      <c r="P404" s="7"/>
      <c r="Q404" s="39">
        <v>159.55999999999995</v>
      </c>
      <c r="R404" s="26"/>
      <c r="S404" s="39">
        <f t="shared" si="67"/>
        <v>825.67999999999984</v>
      </c>
      <c r="T404" s="7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 thickTop="1" thickBot="1">
      <c r="A405" s="396" t="s">
        <v>424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/>
      <c r="J405" s="14"/>
      <c r="K405" s="73"/>
      <c r="L405" s="39">
        <v>0</v>
      </c>
      <c r="M405" s="14"/>
      <c r="N405" s="61">
        <f t="shared" si="66"/>
        <v>0</v>
      </c>
      <c r="O405" s="14"/>
      <c r="P405" s="73"/>
      <c r="Q405" s="39">
        <v>0</v>
      </c>
      <c r="R405" s="14"/>
      <c r="S405" s="61">
        <f t="shared" si="67"/>
        <v>0</v>
      </c>
      <c r="T405" s="7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396" t="s">
        <v>442</v>
      </c>
      <c r="B406" s="7" t="s">
        <v>98</v>
      </c>
      <c r="C406" s="139" t="s">
        <v>48</v>
      </c>
      <c r="D406" s="62" t="s">
        <v>38</v>
      </c>
      <c r="E406" s="63" t="e">
        <f>F406/F$390</f>
        <v>#DIV/0!</v>
      </c>
      <c r="F406" s="64">
        <f>+SUM(F394:F405)</f>
        <v>0</v>
      </c>
      <c r="G406" s="65"/>
      <c r="H406" s="63"/>
      <c r="I406" s="64"/>
      <c r="J406" s="65" t="s">
        <v>38</v>
      </c>
      <c r="K406" s="63">
        <f>L406/L$390</f>
        <v>0.30403109184002486</v>
      </c>
      <c r="L406" s="64">
        <f>+SUM(L394:L405)</f>
        <v>30909.4</v>
      </c>
      <c r="M406" s="66"/>
      <c r="N406" s="64">
        <f t="shared" si="66"/>
        <v>30909.4</v>
      </c>
      <c r="O406" s="65" t="s">
        <v>38</v>
      </c>
      <c r="P406" s="63">
        <f>Q406/Q$390</f>
        <v>0.26762375841212233</v>
      </c>
      <c r="Q406" s="64">
        <f>+SUM(Q394:Q405)</f>
        <v>30814.700000000008</v>
      </c>
      <c r="R406" s="67"/>
      <c r="S406" s="64">
        <f t="shared" si="67"/>
        <v>94.699999999993452</v>
      </c>
      <c r="T406" s="7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396" t="s">
        <v>443</v>
      </c>
      <c r="B407" s="7" t="s">
        <v>98</v>
      </c>
      <c r="C407" s="329" t="s">
        <v>49</v>
      </c>
      <c r="D407" s="54"/>
      <c r="E407" s="7"/>
      <c r="F407" s="19">
        <v>0</v>
      </c>
      <c r="G407" s="56"/>
      <c r="H407" s="7"/>
      <c r="I407" s="19"/>
      <c r="J407" s="26"/>
      <c r="K407" s="7"/>
      <c r="L407" s="39">
        <v>460.05999999999995</v>
      </c>
      <c r="M407" s="26"/>
      <c r="N407" s="39">
        <f t="shared" si="66"/>
        <v>460.05999999999995</v>
      </c>
      <c r="O407" s="26"/>
      <c r="P407" s="7"/>
      <c r="Q407" s="39">
        <v>1058.0199999999998</v>
      </c>
      <c r="R407" s="26"/>
      <c r="S407" s="39">
        <f t="shared" si="67"/>
        <v>-597.95999999999981</v>
      </c>
      <c r="T407" s="7"/>
      <c r="U407" s="6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396" t="s">
        <v>444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/>
      <c r="J408" s="26"/>
      <c r="K408" s="7"/>
      <c r="L408" s="39">
        <v>53.47</v>
      </c>
      <c r="M408" s="26"/>
      <c r="N408" s="39">
        <f t="shared" si="66"/>
        <v>53.47</v>
      </c>
      <c r="O408" s="26"/>
      <c r="P408" s="7"/>
      <c r="Q408" s="39">
        <v>170.20999999999992</v>
      </c>
      <c r="R408" s="26"/>
      <c r="S408" s="39">
        <f t="shared" si="67"/>
        <v>-116.73999999999992</v>
      </c>
      <c r="T408" s="7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396" t="s">
        <v>445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/>
      <c r="J409" s="14"/>
      <c r="K409" s="73"/>
      <c r="L409" s="61">
        <v>1882.2999999999993</v>
      </c>
      <c r="M409" s="14"/>
      <c r="N409" s="61">
        <f t="shared" si="66"/>
        <v>1882.2999999999993</v>
      </c>
      <c r="O409" s="14"/>
      <c r="P409" s="73"/>
      <c r="Q409" s="61">
        <v>2479.7599999999984</v>
      </c>
      <c r="R409" s="14"/>
      <c r="S409" s="61">
        <f t="shared" si="67"/>
        <v>-597.45999999999913</v>
      </c>
      <c r="T409" s="7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396" t="s">
        <v>446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/>
      <c r="J410" s="26"/>
      <c r="K410" s="7"/>
      <c r="L410" s="39">
        <v>2969.33</v>
      </c>
      <c r="M410" s="26"/>
      <c r="N410" s="39">
        <f t="shared" si="66"/>
        <v>2969.33</v>
      </c>
      <c r="O410" s="26"/>
      <c r="P410" s="7"/>
      <c r="Q410" s="39">
        <v>1886.3899999999994</v>
      </c>
      <c r="R410" s="26"/>
      <c r="S410" s="39">
        <f t="shared" si="67"/>
        <v>1082.9400000000005</v>
      </c>
      <c r="T410" s="7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396" t="s">
        <v>447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/>
      <c r="J411" s="26"/>
      <c r="K411" s="7"/>
      <c r="L411" s="39">
        <v>185.01000000000022</v>
      </c>
      <c r="M411" s="26"/>
      <c r="N411" s="39">
        <f t="shared" si="66"/>
        <v>185.01000000000022</v>
      </c>
      <c r="O411" s="26"/>
      <c r="P411" s="7"/>
      <c r="Q411" s="39">
        <v>505.38000000000011</v>
      </c>
      <c r="R411" s="26"/>
      <c r="S411" s="39">
        <f t="shared" si="67"/>
        <v>-320.36999999999989</v>
      </c>
      <c r="T411" s="7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396" t="s">
        <v>448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/>
      <c r="J412" s="14"/>
      <c r="K412" s="73"/>
      <c r="L412" s="61">
        <v>1431.3500000000004</v>
      </c>
      <c r="M412" s="14"/>
      <c r="N412" s="61">
        <f t="shared" si="66"/>
        <v>1431.3500000000004</v>
      </c>
      <c r="O412" s="14"/>
      <c r="P412" s="73"/>
      <c r="Q412" s="61">
        <v>2809.9799999999996</v>
      </c>
      <c r="R412" s="14"/>
      <c r="S412" s="61">
        <f t="shared" si="67"/>
        <v>-1378.6299999999992</v>
      </c>
      <c r="T412" s="7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396" t="s">
        <v>449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66"/>
        <v>0</v>
      </c>
      <c r="O413" s="26"/>
      <c r="P413" s="7"/>
      <c r="Q413" s="39">
        <v>0</v>
      </c>
      <c r="R413" s="26"/>
      <c r="S413" s="39">
        <f t="shared" si="67"/>
        <v>0</v>
      </c>
      <c r="T413" s="7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396" t="s">
        <v>450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/>
      <c r="J414" s="26"/>
      <c r="K414" s="7"/>
      <c r="L414" s="39">
        <v>89.660000000000082</v>
      </c>
      <c r="M414" s="26"/>
      <c r="N414" s="39">
        <f t="shared" si="66"/>
        <v>89.660000000000082</v>
      </c>
      <c r="O414" s="26"/>
      <c r="P414" s="7"/>
      <c r="Q414" s="39">
        <v>34.969999999999914</v>
      </c>
      <c r="R414" s="26"/>
      <c r="S414" s="39">
        <f t="shared" si="67"/>
        <v>54.690000000000168</v>
      </c>
      <c r="T414" s="7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396" t="s">
        <v>451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/>
      <c r="J415" s="26"/>
      <c r="K415" s="7"/>
      <c r="L415" s="39">
        <v>0</v>
      </c>
      <c r="M415" s="26"/>
      <c r="N415" s="39">
        <f t="shared" si="66"/>
        <v>0</v>
      </c>
      <c r="O415" s="26"/>
      <c r="P415" s="7"/>
      <c r="Q415" s="39">
        <v>0</v>
      </c>
      <c r="R415" s="26"/>
      <c r="S415" s="39">
        <f t="shared" si="67"/>
        <v>0</v>
      </c>
      <c r="T415" s="7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396" t="s">
        <v>452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/>
      <c r="J416" s="26"/>
      <c r="K416" s="7"/>
      <c r="L416" s="39">
        <v>101.46000000000004</v>
      </c>
      <c r="M416" s="26"/>
      <c r="N416" s="39">
        <f t="shared" si="66"/>
        <v>101.46000000000004</v>
      </c>
      <c r="O416" s="26"/>
      <c r="P416" s="7"/>
      <c r="Q416" s="39">
        <v>480.9699999999998</v>
      </c>
      <c r="R416" s="26"/>
      <c r="S416" s="39">
        <f t="shared" si="67"/>
        <v>-379.50999999999976</v>
      </c>
      <c r="T416" s="7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396" t="s">
        <v>453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/>
      <c r="J417" s="26"/>
      <c r="K417" s="7"/>
      <c r="L417" s="39">
        <v>210.08000000000004</v>
      </c>
      <c r="M417" s="26"/>
      <c r="N417" s="39">
        <f t="shared" si="66"/>
        <v>210.08000000000004</v>
      </c>
      <c r="O417" s="26"/>
      <c r="P417" s="7"/>
      <c r="Q417" s="39">
        <v>342.91000000000031</v>
      </c>
      <c r="R417" s="26"/>
      <c r="S417" s="39">
        <f t="shared" si="67"/>
        <v>-132.83000000000027</v>
      </c>
      <c r="T417" s="7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396" t="s">
        <v>454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/>
      <c r="J418" s="26"/>
      <c r="K418" s="7"/>
      <c r="L418" s="39">
        <v>1239.3599999999997</v>
      </c>
      <c r="M418" s="26"/>
      <c r="N418" s="39">
        <f t="shared" si="66"/>
        <v>1239.3599999999997</v>
      </c>
      <c r="O418" s="26"/>
      <c r="P418" s="7"/>
      <c r="Q418" s="39">
        <v>548.92000000000007</v>
      </c>
      <c r="R418" s="26"/>
      <c r="S418" s="39">
        <f t="shared" si="67"/>
        <v>690.4399999999996</v>
      </c>
      <c r="T418" s="7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396" t="s">
        <v>455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/>
      <c r="J419" s="26"/>
      <c r="K419" s="7"/>
      <c r="L419" s="39">
        <v>1090.46</v>
      </c>
      <c r="M419" s="26"/>
      <c r="N419" s="39">
        <f t="shared" si="66"/>
        <v>1090.46</v>
      </c>
      <c r="O419" s="26"/>
      <c r="P419" s="7"/>
      <c r="Q419" s="39">
        <v>1285.3300000000004</v>
      </c>
      <c r="R419" s="26"/>
      <c r="S419" s="39">
        <f t="shared" si="67"/>
        <v>-194.87000000000035</v>
      </c>
      <c r="T419" s="7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396" t="s">
        <v>456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/>
      <c r="J420" s="26"/>
      <c r="K420" s="7"/>
      <c r="L420" s="39">
        <v>0</v>
      </c>
      <c r="M420" s="26"/>
      <c r="N420" s="39">
        <f t="shared" si="66"/>
        <v>0</v>
      </c>
      <c r="O420" s="26"/>
      <c r="P420" s="7"/>
      <c r="Q420" s="39">
        <v>0</v>
      </c>
      <c r="R420" s="26"/>
      <c r="S420" s="39">
        <f t="shared" si="67"/>
        <v>0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396" t="s">
        <v>457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/>
      <c r="J421" s="26"/>
      <c r="K421" s="7"/>
      <c r="L421" s="39">
        <v>478.49000000000024</v>
      </c>
      <c r="M421" s="26"/>
      <c r="N421" s="39">
        <f t="shared" si="66"/>
        <v>478.49000000000024</v>
      </c>
      <c r="O421" s="26"/>
      <c r="P421" s="7"/>
      <c r="Q421" s="39">
        <v>107.15000000000009</v>
      </c>
      <c r="R421" s="26"/>
      <c r="S421" s="39">
        <f t="shared" si="67"/>
        <v>371.34000000000015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396" t="s">
        <v>424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/>
      <c r="J422" s="26"/>
      <c r="K422" s="7"/>
      <c r="L422" s="39">
        <v>0</v>
      </c>
      <c r="M422" s="26"/>
      <c r="N422" s="39">
        <f t="shared" si="66"/>
        <v>0</v>
      </c>
      <c r="O422" s="26"/>
      <c r="P422" s="7"/>
      <c r="Q422" s="39">
        <v>0</v>
      </c>
      <c r="R422" s="26"/>
      <c r="S422" s="39">
        <f t="shared" si="67"/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396" t="s">
        <v>424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/>
      <c r="J423" s="26"/>
      <c r="K423" s="7"/>
      <c r="L423" s="39">
        <v>0</v>
      </c>
      <c r="M423" s="26"/>
      <c r="N423" s="39">
        <f t="shared" si="66"/>
        <v>0</v>
      </c>
      <c r="O423" s="26"/>
      <c r="P423" s="7"/>
      <c r="Q423" s="39">
        <v>0</v>
      </c>
      <c r="R423" s="26"/>
      <c r="S423" s="39">
        <f t="shared" si="67"/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396" t="s">
        <v>424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/>
      <c r="J424" s="26"/>
      <c r="K424" s="7"/>
      <c r="L424" s="39">
        <v>0</v>
      </c>
      <c r="M424" s="26"/>
      <c r="N424" s="39">
        <f t="shared" si="66"/>
        <v>0</v>
      </c>
      <c r="O424" s="26"/>
      <c r="P424" s="7"/>
      <c r="Q424" s="39">
        <v>0</v>
      </c>
      <c r="R424" s="26"/>
      <c r="S424" s="39">
        <f t="shared" si="67"/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396"/>
      <c r="B425" s="7"/>
      <c r="C425" s="139" t="s">
        <v>63</v>
      </c>
      <c r="D425" s="62" t="s">
        <v>38</v>
      </c>
      <c r="E425" s="63" t="e">
        <f>F425/F$390</f>
        <v>#DIV/0!</v>
      </c>
      <c r="F425" s="64">
        <f>+SUM(F407:F424)</f>
        <v>0</v>
      </c>
      <c r="G425" s="65"/>
      <c r="H425" s="63"/>
      <c r="I425" s="64"/>
      <c r="J425" s="65" t="s">
        <v>38</v>
      </c>
      <c r="K425" s="63">
        <f>L425/L$390</f>
        <v>0.10024102628567516</v>
      </c>
      <c r="L425" s="64">
        <f>+SUM(L407:L424)</f>
        <v>10191.029999999997</v>
      </c>
      <c r="M425" s="66"/>
      <c r="N425" s="64">
        <f>+SUM(N407:N424)</f>
        <v>10191.029999999997</v>
      </c>
      <c r="O425" s="65" t="s">
        <v>38</v>
      </c>
      <c r="P425" s="63">
        <f>Q425/Q$390</f>
        <v>0.10170053691155086</v>
      </c>
      <c r="Q425" s="64">
        <f>+SUM(Q407:Q424)</f>
        <v>11709.989999999996</v>
      </c>
      <c r="R425" s="67"/>
      <c r="S425" s="64">
        <f>+SUM(S407:S424)</f>
        <v>-1518.9599999999982</v>
      </c>
      <c r="T425" s="7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396"/>
      <c r="B427" s="7"/>
      <c r="C427" s="139" t="s">
        <v>64</v>
      </c>
      <c r="D427" s="62" t="s">
        <v>38</v>
      </c>
      <c r="E427" s="63" t="e">
        <f>F427/F$390</f>
        <v>#DIV/0!</v>
      </c>
      <c r="F427" s="64">
        <f>F406+F425</f>
        <v>0</v>
      </c>
      <c r="G427" s="65"/>
      <c r="H427" s="63"/>
      <c r="I427" s="64"/>
      <c r="J427" s="65" t="s">
        <v>38</v>
      </c>
      <c r="K427" s="63">
        <f>L427/L$390</f>
        <v>0.40427211812570008</v>
      </c>
      <c r="L427" s="64">
        <f>L406+L425</f>
        <v>41100.43</v>
      </c>
      <c r="M427" s="66"/>
      <c r="N427" s="64">
        <f>L427-F427</f>
        <v>41100.43</v>
      </c>
      <c r="O427" s="65" t="s">
        <v>38</v>
      </c>
      <c r="P427" s="63">
        <f>Q427/Q$390</f>
        <v>0.36932429532367317</v>
      </c>
      <c r="Q427" s="64">
        <f>Q406+Q425</f>
        <v>42524.69</v>
      </c>
      <c r="R427" s="67"/>
      <c r="S427" s="64">
        <f>L427-Q427</f>
        <v>-1424.260000000002</v>
      </c>
      <c r="T427" s="7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396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/>
      <c r="J429" s="279"/>
      <c r="K429" s="278"/>
      <c r="L429" s="138">
        <f>L390-L427</f>
        <v>60564.82999999998</v>
      </c>
      <c r="M429" s="280"/>
      <c r="N429" s="138">
        <f>L429-F429</f>
        <v>60564.82999999998</v>
      </c>
      <c r="O429" s="279"/>
      <c r="P429" s="278"/>
      <c r="Q429" s="138">
        <f>Q390-Q427</f>
        <v>72617.180000000051</v>
      </c>
      <c r="R429" s="281"/>
      <c r="S429" s="138">
        <f>L429-Q429</f>
        <v>-12052.350000000071</v>
      </c>
      <c r="T429" s="7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+C367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458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Réalisé, Juillet 2026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426" t="s">
        <v>5</v>
      </c>
      <c r="E434" s="427"/>
      <c r="F434" s="425"/>
      <c r="G434" s="424"/>
      <c r="H434" s="427"/>
      <c r="I434" s="425"/>
      <c r="J434" s="424" t="s">
        <v>7</v>
      </c>
      <c r="K434" s="427"/>
      <c r="L434" s="425"/>
      <c r="M434" s="424"/>
      <c r="N434" s="425"/>
      <c r="O434" s="426" t="s">
        <v>8</v>
      </c>
      <c r="P434" s="427"/>
      <c r="Q434" s="425"/>
      <c r="R434" s="424" t="s">
        <v>9</v>
      </c>
      <c r="S434" s="425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396" t="s">
        <v>114</v>
      </c>
      <c r="B435" s="7" t="s">
        <v>458</v>
      </c>
      <c r="C435" s="330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214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396"/>
      <c r="B436" s="7" t="s">
        <v>458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396"/>
      <c r="B437" s="7" t="s">
        <v>458</v>
      </c>
      <c r="C437" s="26" t="s">
        <v>459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393</v>
      </c>
      <c r="K437" s="55">
        <v>69525</v>
      </c>
      <c r="L437" s="39">
        <v>50590.67</v>
      </c>
      <c r="M437" s="99">
        <f>IFERROR((K437-E437)/E437,0)</f>
        <v>0</v>
      </c>
      <c r="N437" s="39">
        <f>L437-F437</f>
        <v>50590.67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50590.67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396"/>
      <c r="B438" s="7" t="s">
        <v>458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0.72766156058971587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396"/>
      <c r="B439" s="7" t="s">
        <v>458</v>
      </c>
      <c r="C439" s="26"/>
      <c r="D439" s="53"/>
      <c r="E439" s="141"/>
      <c r="F439" s="87"/>
      <c r="G439" s="85"/>
      <c r="H439" s="141"/>
      <c r="I439" s="87"/>
      <c r="J439" s="85"/>
      <c r="K439" s="312">
        <f>IFERROR(K437/J437,0)</f>
        <v>176.90839694656489</v>
      </c>
      <c r="L439" s="84"/>
      <c r="M439" s="85"/>
      <c r="N439" s="84"/>
      <c r="O439" s="85"/>
      <c r="P439" s="312">
        <f>IFERROR(P437/O437,0)</f>
        <v>0</v>
      </c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396"/>
      <c r="B440" s="7" t="s">
        <v>458</v>
      </c>
      <c r="C440" s="335" t="s">
        <v>460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193</v>
      </c>
      <c r="K440" s="105">
        <v>23700</v>
      </c>
      <c r="L440" s="72">
        <v>17337</v>
      </c>
      <c r="M440" s="109">
        <f>IFERROR((K440-E440)/E440,0)</f>
        <v>0</v>
      </c>
      <c r="N440" s="72">
        <f>L440-F440</f>
        <v>17337</v>
      </c>
      <c r="O440" s="106">
        <v>611</v>
      </c>
      <c r="P440" s="105">
        <v>84875</v>
      </c>
      <c r="Q440" s="72">
        <v>63790.569999999992</v>
      </c>
      <c r="R440" s="99">
        <f>IF(O440=0,0,J440/O440)</f>
        <v>0.3158756137479542</v>
      </c>
      <c r="S440" s="39">
        <f>L440-Q440</f>
        <v>-46453.569999999992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396"/>
      <c r="B441" s="7" t="s">
        <v>458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0.73151898734177212</v>
      </c>
      <c r="M441" s="99"/>
      <c r="N441" s="39">
        <f>IFERROR(N440/M440,0)</f>
        <v>0</v>
      </c>
      <c r="O441" s="40"/>
      <c r="P441" s="7"/>
      <c r="Q441" s="100">
        <f>IFERROR(Q440/P440,0)</f>
        <v>0.75158256259204703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396"/>
      <c r="B442" s="7" t="s">
        <v>458</v>
      </c>
      <c r="C442" s="14"/>
      <c r="D442" s="73"/>
      <c r="E442" s="101"/>
      <c r="F442" s="102"/>
      <c r="G442" s="14"/>
      <c r="H442" s="101"/>
      <c r="I442" s="102"/>
      <c r="J442" s="103"/>
      <c r="K442" s="312">
        <f>IFERROR(K440/J440,0)</f>
        <v>122.79792746113989</v>
      </c>
      <c r="L442" s="102"/>
      <c r="M442" s="104"/>
      <c r="N442" s="61"/>
      <c r="O442" s="103"/>
      <c r="P442" s="312">
        <f>IFERROR(P440/O440,0)</f>
        <v>138.911620294599</v>
      </c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396"/>
      <c r="B443" s="7" t="s">
        <v>458</v>
      </c>
      <c r="C443" s="335" t="s">
        <v>461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5</v>
      </c>
      <c r="K443" s="55">
        <v>630.5</v>
      </c>
      <c r="L443" s="39">
        <v>453.29999999999995</v>
      </c>
      <c r="M443" s="99">
        <f>IFERROR((K443-E443)/E443,0)</f>
        <v>0</v>
      </c>
      <c r="N443" s="72">
        <f>L443-F443</f>
        <v>453.29999999999995</v>
      </c>
      <c r="O443" s="106">
        <v>26</v>
      </c>
      <c r="P443" s="55">
        <v>3260</v>
      </c>
      <c r="Q443" s="39">
        <v>2529.9700000000003</v>
      </c>
      <c r="R443" s="99">
        <f>IF(O443=0,0,J443/O443)</f>
        <v>0.19230769230769232</v>
      </c>
      <c r="S443" s="39">
        <f>L443-Q443</f>
        <v>-2076.67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396"/>
      <c r="B444" s="7" t="s">
        <v>458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0.71895321173671678</v>
      </c>
      <c r="M444" s="99"/>
      <c r="N444" s="39">
        <f>IFERROR(N443/M443,0)</f>
        <v>0</v>
      </c>
      <c r="O444" s="40"/>
      <c r="P444" s="7"/>
      <c r="Q444" s="100">
        <f>IFERROR(Q443/P443,0)</f>
        <v>0.77606441717791419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396"/>
      <c r="B445" s="7" t="s">
        <v>458</v>
      </c>
      <c r="C445" s="26"/>
      <c r="D445" s="7"/>
      <c r="E445" s="7"/>
      <c r="F445" s="100"/>
      <c r="G445" s="7"/>
      <c r="H445" s="91"/>
      <c r="I445" s="93"/>
      <c r="J445" s="40"/>
      <c r="K445" s="404">
        <f>IFERROR(K443/J443,0)</f>
        <v>126.1</v>
      </c>
      <c r="L445" s="100"/>
      <c r="M445" s="99"/>
      <c r="N445" s="39"/>
      <c r="O445" s="40"/>
      <c r="P445" s="404">
        <f>IFERROR(P443/O443,0)</f>
        <v>125.38461538461539</v>
      </c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396"/>
      <c r="B446" s="7" t="s">
        <v>458</v>
      </c>
      <c r="C446" s="26" t="s">
        <v>462</v>
      </c>
      <c r="D446" s="7"/>
      <c r="E446" s="7"/>
      <c r="F446" s="100"/>
      <c r="G446" s="7"/>
      <c r="H446" s="91"/>
      <c r="I446" s="93"/>
      <c r="J446" s="40"/>
      <c r="K446" s="7"/>
      <c r="L446" s="39">
        <v>-1417.39</v>
      </c>
      <c r="M446" s="99"/>
      <c r="N446" s="39"/>
      <c r="O446" s="40"/>
      <c r="P446" s="7"/>
      <c r="Q446" s="39">
        <v>0</v>
      </c>
      <c r="R446" s="40"/>
      <c r="S446" s="39">
        <f>L446-Q446</f>
        <v>-1417.39</v>
      </c>
      <c r="T446" s="6"/>
      <c r="U446" s="6" t="s">
        <v>503</v>
      </c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396"/>
      <c r="B447" s="7" t="s">
        <v>458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396" t="s">
        <v>463</v>
      </c>
      <c r="B448" s="7" t="s">
        <v>458</v>
      </c>
      <c r="C448" s="264" t="s">
        <v>464</v>
      </c>
      <c r="D448" s="41">
        <v>0</v>
      </c>
      <c r="E448" s="42">
        <f>IFERROR(F448/D448,0)</f>
        <v>0</v>
      </c>
      <c r="F448" s="43">
        <v>0</v>
      </c>
      <c r="G448" s="44"/>
      <c r="H448" s="42"/>
      <c r="I448" s="43"/>
      <c r="J448" s="44"/>
      <c r="K448" s="41">
        <f>K437+K440+K443</f>
        <v>93855.5</v>
      </c>
      <c r="L448" s="43">
        <f>L437+L440+L443+L446</f>
        <v>66963.58</v>
      </c>
      <c r="M448" s="44"/>
      <c r="N448" s="43"/>
      <c r="O448" s="44"/>
      <c r="P448" s="41">
        <f>P437+P440+P443</f>
        <v>88135</v>
      </c>
      <c r="Q448" s="43">
        <f>Q437+Q440+Q443+Q446</f>
        <v>66320.539999999994</v>
      </c>
      <c r="R448" s="44">
        <f>IF(O448=0,0,(J448-O448)/O448)</f>
        <v>0</v>
      </c>
      <c r="S448" s="43">
        <f>S437+S440+S443+S446</f>
        <v>643.04000000000565</v>
      </c>
      <c r="T448" s="7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396" t="s">
        <v>114</v>
      </c>
      <c r="B449" s="7" t="s">
        <v>458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0.71347528914128633</v>
      </c>
      <c r="M449" s="48"/>
      <c r="N449" s="49"/>
      <c r="O449" s="47"/>
      <c r="P449" s="265"/>
      <c r="Q449" s="267">
        <f>Q448/P448</f>
        <v>0.7524881148238497</v>
      </c>
      <c r="R449" s="48"/>
      <c r="S449" s="267">
        <f>IF(Q448=0,0,S448/Q448)</f>
        <v>9.6959403527173589E-3</v>
      </c>
      <c r="T449" s="7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396" t="s">
        <v>114</v>
      </c>
      <c r="B450" s="7" t="s">
        <v>458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396" t="s">
        <v>465</v>
      </c>
      <c r="B451" s="7" t="s">
        <v>458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396" t="s">
        <v>466</v>
      </c>
      <c r="B452" s="7" t="s">
        <v>458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540</v>
      </c>
      <c r="M452" s="26"/>
      <c r="N452" s="25"/>
      <c r="O452" s="26"/>
      <c r="P452" s="7"/>
      <c r="Q452" s="39">
        <v>0</v>
      </c>
      <c r="R452" s="26"/>
      <c r="S452" s="39">
        <f t="shared" ref="S452:S481" si="68">L452-Q452</f>
        <v>540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396" t="s">
        <v>467</v>
      </c>
      <c r="B453" s="7" t="s">
        <v>458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8742.9399999999987</v>
      </c>
      <c r="M453" s="26"/>
      <c r="N453" s="39"/>
      <c r="O453" s="26"/>
      <c r="P453" s="7"/>
      <c r="Q453" s="61">
        <v>0</v>
      </c>
      <c r="R453" s="26"/>
      <c r="S453" s="39">
        <f t="shared" si="68"/>
        <v>8742.9399999999987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396" t="s">
        <v>468</v>
      </c>
      <c r="B454" s="7" t="s">
        <v>458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1646.34</v>
      </c>
      <c r="M454" s="71"/>
      <c r="N454" s="72"/>
      <c r="O454" s="71"/>
      <c r="P454" s="69"/>
      <c r="Q454" s="39">
        <v>0</v>
      </c>
      <c r="R454" s="71"/>
      <c r="S454" s="72">
        <f t="shared" si="68"/>
        <v>1646.34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396" t="s">
        <v>469</v>
      </c>
      <c r="B455" s="7" t="s">
        <v>458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68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396" t="s">
        <v>470</v>
      </c>
      <c r="B456" s="7" t="s">
        <v>458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68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396" t="s">
        <v>470</v>
      </c>
      <c r="B457" s="7" t="s">
        <v>458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68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396" t="s">
        <v>470</v>
      </c>
      <c r="B458" s="7" t="s">
        <v>458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68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396" t="s">
        <v>471</v>
      </c>
      <c r="B459" s="7" t="s">
        <v>458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5220.0199999999995</v>
      </c>
      <c r="M459" s="26"/>
      <c r="N459" s="39"/>
      <c r="O459" s="26"/>
      <c r="P459" s="7"/>
      <c r="Q459" s="61">
        <v>0</v>
      </c>
      <c r="R459" s="26"/>
      <c r="S459" s="39">
        <f t="shared" si="68"/>
        <v>5220.0199999999995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396" t="s">
        <v>472</v>
      </c>
      <c r="B460" s="7" t="s">
        <v>458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5081.0700000000006</v>
      </c>
      <c r="M460" s="71"/>
      <c r="N460" s="72"/>
      <c r="O460" s="71"/>
      <c r="P460" s="69"/>
      <c r="Q460" s="39">
        <v>0</v>
      </c>
      <c r="R460" s="71"/>
      <c r="S460" s="72">
        <f t="shared" si="68"/>
        <v>5081.0700000000006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396" t="s">
        <v>473</v>
      </c>
      <c r="B461" s="7" t="s">
        <v>458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1069.58</v>
      </c>
      <c r="M461" s="26"/>
      <c r="N461" s="39"/>
      <c r="O461" s="26"/>
      <c r="P461" s="7"/>
      <c r="Q461" s="39">
        <v>0</v>
      </c>
      <c r="R461" s="26"/>
      <c r="S461" s="39">
        <f t="shared" si="68"/>
        <v>1069.58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396" t="s">
        <v>474</v>
      </c>
      <c r="B462" s="7" t="s">
        <v>458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669.43000000000006</v>
      </c>
      <c r="M462" s="26"/>
      <c r="N462" s="39"/>
      <c r="O462" s="26"/>
      <c r="P462" s="7"/>
      <c r="Q462" s="39">
        <v>0</v>
      </c>
      <c r="R462" s="26"/>
      <c r="S462" s="39">
        <f t="shared" si="68"/>
        <v>669.43000000000006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396" t="s">
        <v>470</v>
      </c>
      <c r="B463" s="7" t="s">
        <v>458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68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396" t="s">
        <v>475</v>
      </c>
      <c r="B464" s="7" t="s">
        <v>458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0.34301302289991065</v>
      </c>
      <c r="L464" s="64">
        <f>+SUM(L452:L463)</f>
        <v>22969.379999999997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68"/>
        <v>22969.379999999997</v>
      </c>
      <c r="T464" s="7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396" t="s">
        <v>476</v>
      </c>
      <c r="B465" s="7" t="s">
        <v>458</v>
      </c>
      <c r="C465" s="329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68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396" t="s">
        <v>477</v>
      </c>
      <c r="B466" s="7" t="s">
        <v>458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f t="shared" si="68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396" t="s">
        <v>478</v>
      </c>
      <c r="B467" s="7" t="s">
        <v>458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68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396" t="s">
        <v>479</v>
      </c>
      <c r="B468" s="7" t="s">
        <v>458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68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396" t="s">
        <v>480</v>
      </c>
      <c r="B469" s="7" t="s">
        <v>458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68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396" t="s">
        <v>481</v>
      </c>
      <c r="B470" s="7" t="s">
        <v>458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f t="shared" si="68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396" t="s">
        <v>482</v>
      </c>
      <c r="B471" s="7" t="s">
        <v>458</v>
      </c>
      <c r="C471" s="329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68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396" t="s">
        <v>483</v>
      </c>
      <c r="B472" s="7" t="s">
        <v>458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f t="shared" si="68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396" t="s">
        <v>484</v>
      </c>
      <c r="B473" s="7" t="s">
        <v>458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68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396" t="s">
        <v>485</v>
      </c>
      <c r="B474" s="7" t="s">
        <v>458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68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396" t="s">
        <v>486</v>
      </c>
      <c r="B475" s="7" t="s">
        <v>458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68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396" t="s">
        <v>487</v>
      </c>
      <c r="B476" s="7" t="s">
        <v>458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f t="shared" si="68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396" t="s">
        <v>488</v>
      </c>
      <c r="B477" s="7" t="s">
        <v>458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2256.2399999999998</v>
      </c>
      <c r="M477" s="26"/>
      <c r="N477" s="39"/>
      <c r="O477" s="26"/>
      <c r="P477" s="7"/>
      <c r="Q477" s="39">
        <v>0</v>
      </c>
      <c r="R477" s="26"/>
      <c r="S477" s="39">
        <f t="shared" si="68"/>
        <v>2256.2399999999998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396" t="s">
        <v>489</v>
      </c>
      <c r="B478" s="7" t="s">
        <v>458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68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396" t="s">
        <v>470</v>
      </c>
      <c r="B479" s="7" t="s">
        <v>458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68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396" t="s">
        <v>470</v>
      </c>
      <c r="B480" s="7" t="s">
        <v>458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68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396" t="s">
        <v>470</v>
      </c>
      <c r="B481" s="7" t="s">
        <v>458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68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396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3.3693539084977235E-2</v>
      </c>
      <c r="L482" s="64">
        <f>+SUM(L465:L481)</f>
        <v>2256.2399999999998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2256.2399999999998</v>
      </c>
      <c r="T482" s="7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396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0.37670656198488783</v>
      </c>
      <c r="L484" s="64">
        <f>L464+L482</f>
        <v>25225.619999999995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25225.619999999995</v>
      </c>
      <c r="T484" s="7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396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41737.960000000006</v>
      </c>
      <c r="M486" s="280"/>
      <c r="N486" s="138"/>
      <c r="O486" s="279"/>
      <c r="P486" s="278"/>
      <c r="Q486" s="138">
        <f>Q448-Q484</f>
        <v>66320.539999999994</v>
      </c>
      <c r="R486" s="281"/>
      <c r="S486" s="138">
        <f>L486-Q486</f>
        <v>-24582.579999999987</v>
      </c>
      <c r="T486" s="7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>
        <f>F390+F326+F268</f>
        <v>0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>
        <f>F429+F307+F365</f>
        <v>0</v>
      </c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6" t="s">
        <v>490</v>
      </c>
      <c r="F489" s="337"/>
      <c r="L489" s="337"/>
      <c r="V489" s="338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39"/>
      <c r="AF489" s="339" t="s">
        <v>491</v>
      </c>
      <c r="AG489" s="254"/>
      <c r="AH489" s="254"/>
      <c r="AI489" s="254"/>
      <c r="AJ489" s="340"/>
      <c r="AK489" s="252"/>
      <c r="AL489" s="254"/>
      <c r="AM489" s="254"/>
      <c r="AN489" s="254"/>
      <c r="AO489" s="340" t="str">
        <f>$S$1</f>
        <v>Réalisé, Juillet 2026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6" t="s">
        <v>490</v>
      </c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396" t="s">
        <v>492</v>
      </c>
      <c r="B491" s="3"/>
      <c r="C491" s="336" t="s">
        <v>490</v>
      </c>
      <c r="V491" s="341"/>
      <c r="W491" s="342"/>
      <c r="X491" s="422" t="s">
        <v>116</v>
      </c>
      <c r="Y491" s="420"/>
      <c r="Z491" s="423"/>
      <c r="AA491" s="419"/>
      <c r="AB491" s="420"/>
      <c r="AC491" s="423"/>
      <c r="AD491" s="419" t="s">
        <v>7</v>
      </c>
      <c r="AE491" s="420"/>
      <c r="AF491" s="423"/>
      <c r="AG491" s="419" t="s">
        <v>210</v>
      </c>
      <c r="AH491" s="420"/>
      <c r="AI491" s="423"/>
      <c r="AJ491" s="419" t="s">
        <v>117</v>
      </c>
      <c r="AK491" s="420"/>
      <c r="AL491" s="420"/>
      <c r="AM491" s="419" t="s">
        <v>118</v>
      </c>
      <c r="AN491" s="420"/>
      <c r="AO491" s="421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396" t="s">
        <v>492</v>
      </c>
      <c r="B492" s="3"/>
      <c r="C492" s="336" t="s">
        <v>490</v>
      </c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396" t="s">
        <v>14</v>
      </c>
      <c r="B493" s="3"/>
      <c r="C493" s="336" t="s">
        <v>490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14416748.130000003</v>
      </c>
      <c r="AG493" s="147"/>
      <c r="AH493" s="148"/>
      <c r="AI493" s="149"/>
      <c r="AJ493" s="147"/>
      <c r="AK493" s="148"/>
      <c r="AL493" s="146">
        <f>Q5+Q93+Q173+P268+P326+O390+P448</f>
        <v>18385299.320000004</v>
      </c>
      <c r="AM493" s="150"/>
      <c r="AN493" s="148"/>
      <c r="AO493" s="343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396" t="s">
        <v>126</v>
      </c>
      <c r="B494" s="3"/>
      <c r="C494" s="336" t="s">
        <v>490</v>
      </c>
      <c r="V494" s="344" t="s">
        <v>126</v>
      </c>
      <c r="W494" s="151"/>
      <c r="X494" s="345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5">
        <f>AF494/AF493</f>
        <v>4.0959150751286907E-2</v>
      </c>
      <c r="AE494" s="154"/>
      <c r="AF494" s="152">
        <f>L27+L109+L182+L268+L326+L390+L448</f>
        <v>590497.76000000373</v>
      </c>
      <c r="AG494" s="153"/>
      <c r="AH494" s="154" t="e">
        <f>AF494-Z494</f>
        <v>#REF!</v>
      </c>
      <c r="AI494" s="155" t="e">
        <f>AH494/Z494</f>
        <v>#REF!</v>
      </c>
      <c r="AJ494" s="345">
        <f>AL494/AL493</f>
        <v>4.6182039531788795E-2</v>
      </c>
      <c r="AK494" s="154"/>
      <c r="AL494" s="152">
        <f>Q27+Q109+Q182+Q268+Q326+Q390+Q448</f>
        <v>849070.62000000989</v>
      </c>
      <c r="AM494" s="156"/>
      <c r="AN494" s="154">
        <f>AF494-AL494</f>
        <v>-258572.86000000616</v>
      </c>
      <c r="AO494" s="346">
        <f>IF(AL494=0,0,AN494/AL494)</f>
        <v>-0.30453634115852829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396" t="s">
        <v>127</v>
      </c>
      <c r="B495" s="3"/>
      <c r="C495" s="336" t="s">
        <v>490</v>
      </c>
      <c r="V495" s="347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8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396" t="s">
        <v>30</v>
      </c>
      <c r="B496" s="3"/>
      <c r="C496" s="336" t="s">
        <v>490</v>
      </c>
      <c r="V496" s="271" t="s">
        <v>30</v>
      </c>
      <c r="W496" s="163" t="s">
        <v>128</v>
      </c>
      <c r="X496" s="157"/>
      <c r="Y496" s="164" t="e">
        <f t="shared" ref="Y496:Y505" si="69">Z496/(D$13+D$97)</f>
        <v>#DIV/0!</v>
      </c>
      <c r="Z496" s="158">
        <f t="shared" ref="Z496:Z502" si="70">+SUMIF($C:$C,$V496,F:F)</f>
        <v>0</v>
      </c>
      <c r="AA496" s="157"/>
      <c r="AB496" s="164"/>
      <c r="AC496" s="158"/>
      <c r="AD496" s="165"/>
      <c r="AE496" s="160">
        <f>IF(AF496=0,0,AF496/(J$13+J$97))</f>
        <v>819.80961038961095</v>
      </c>
      <c r="AF496" s="158">
        <f t="shared" ref="AF496:AF502" si="71">+SUMIF($C:$C,$V496,L:L)</f>
        <v>63125.34000000004</v>
      </c>
      <c r="AG496" s="159" t="e">
        <f t="shared" ref="AG496:AH511" si="72">AE496-Y496</f>
        <v>#DIV/0!</v>
      </c>
      <c r="AH496" s="160">
        <f t="shared" si="72"/>
        <v>63125.34000000004</v>
      </c>
      <c r="AI496" s="161">
        <f t="shared" ref="AI496:AI505" si="73">IF(Z496=0,0,AH496/Z496)</f>
        <v>0</v>
      </c>
      <c r="AJ496" s="165"/>
      <c r="AK496" s="160">
        <f>IF(AL496=0,0,AL496/(O$13+O$97))</f>
        <v>768.99808988764028</v>
      </c>
      <c r="AL496" s="158">
        <v>68440.829999999987</v>
      </c>
      <c r="AM496" s="162">
        <f>AE496-AK496</f>
        <v>50.811520501970676</v>
      </c>
      <c r="AN496" s="160">
        <f>AF496-AL496</f>
        <v>-5315.489999999947</v>
      </c>
      <c r="AO496" s="349">
        <f>IF(AL496=0,0,AN496/AL496)</f>
        <v>-7.7665481263157504E-2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396" t="s">
        <v>31</v>
      </c>
      <c r="B497" s="3"/>
      <c r="C497" s="336" t="s">
        <v>490</v>
      </c>
      <c r="V497" s="272" t="s">
        <v>31</v>
      </c>
      <c r="W497" s="166" t="s">
        <v>129</v>
      </c>
      <c r="X497" s="145"/>
      <c r="Y497" s="167" t="e">
        <f t="shared" si="69"/>
        <v>#DIV/0!</v>
      </c>
      <c r="Z497" s="146">
        <f t="shared" si="70"/>
        <v>0</v>
      </c>
      <c r="AA497" s="145"/>
      <c r="AB497" s="167"/>
      <c r="AC497" s="146"/>
      <c r="AD497" s="168"/>
      <c r="AE497" s="148">
        <f t="shared" ref="AE497:AE504" si="74">IF(AF497=0,0,AF497/(J$13+J$97))</f>
        <v>223.60961038961037</v>
      </c>
      <c r="AF497" s="146">
        <f t="shared" si="71"/>
        <v>17217.939999999999</v>
      </c>
      <c r="AG497" s="147" t="e">
        <f t="shared" si="72"/>
        <v>#DIV/0!</v>
      </c>
      <c r="AH497" s="148">
        <f t="shared" si="72"/>
        <v>17217.939999999999</v>
      </c>
      <c r="AI497" s="169">
        <f t="shared" si="73"/>
        <v>0</v>
      </c>
      <c r="AJ497" s="168"/>
      <c r="AK497" s="148">
        <f t="shared" ref="AK497:AK504" si="75">IF(AL497=0,0,AL497/(O$13+O$97))</f>
        <v>159.97460674157313</v>
      </c>
      <c r="AL497" s="146">
        <v>14237.740000000009</v>
      </c>
      <c r="AM497" s="350">
        <f t="shared" ref="AM497:AN512" si="76">AE497-AK497</f>
        <v>63.635003648037241</v>
      </c>
      <c r="AN497" s="148">
        <f t="shared" si="76"/>
        <v>2980.1999999999898</v>
      </c>
      <c r="AO497" s="343">
        <f t="shared" ref="AO497:AO553" si="77">IF(AL497=0,0,AN497/AL497)</f>
        <v>0.20931692810797134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396" t="s">
        <v>32</v>
      </c>
      <c r="B498" s="3"/>
      <c r="C498" s="336" t="s">
        <v>490</v>
      </c>
      <c r="V498" s="271" t="s">
        <v>32</v>
      </c>
      <c r="W498" s="163" t="s">
        <v>130</v>
      </c>
      <c r="X498" s="157"/>
      <c r="Y498" s="164" t="e">
        <f t="shared" si="69"/>
        <v>#DIV/0!</v>
      </c>
      <c r="Z498" s="158">
        <f t="shared" si="70"/>
        <v>0</v>
      </c>
      <c r="AA498" s="157"/>
      <c r="AB498" s="164"/>
      <c r="AC498" s="158"/>
      <c r="AD498" s="165"/>
      <c r="AE498" s="160">
        <f t="shared" si="74"/>
        <v>704.05467532467526</v>
      </c>
      <c r="AF498" s="158">
        <f t="shared" si="71"/>
        <v>54212.21</v>
      </c>
      <c r="AG498" s="159" t="e">
        <f t="shared" si="72"/>
        <v>#DIV/0!</v>
      </c>
      <c r="AH498" s="160">
        <f t="shared" si="72"/>
        <v>54212.21</v>
      </c>
      <c r="AI498" s="161">
        <f t="shared" si="73"/>
        <v>0</v>
      </c>
      <c r="AJ498" s="165"/>
      <c r="AK498" s="160">
        <f t="shared" si="75"/>
        <v>-445.03910112359546</v>
      </c>
      <c r="AL498" s="158">
        <v>-39608.479999999996</v>
      </c>
      <c r="AM498" s="162">
        <f t="shared" si="76"/>
        <v>1149.0937764482708</v>
      </c>
      <c r="AN498" s="160">
        <f t="shared" si="76"/>
        <v>93820.69</v>
      </c>
      <c r="AO498" s="349">
        <f t="shared" si="77"/>
        <v>-2.3687021062156388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396" t="s">
        <v>33</v>
      </c>
      <c r="B499" s="3"/>
      <c r="C499" s="336" t="s">
        <v>490</v>
      </c>
      <c r="V499" s="271" t="s">
        <v>33</v>
      </c>
      <c r="W499" s="163" t="s">
        <v>131</v>
      </c>
      <c r="X499" s="157"/>
      <c r="Y499" s="164" t="e">
        <f t="shared" si="69"/>
        <v>#DIV/0!</v>
      </c>
      <c r="Z499" s="158">
        <f t="shared" si="70"/>
        <v>0</v>
      </c>
      <c r="AA499" s="157"/>
      <c r="AB499" s="164"/>
      <c r="AC499" s="158"/>
      <c r="AD499" s="165"/>
      <c r="AE499" s="160">
        <f t="shared" si="74"/>
        <v>23.45064935064935</v>
      </c>
      <c r="AF499" s="158">
        <f t="shared" si="71"/>
        <v>1805.6999999999998</v>
      </c>
      <c r="AG499" s="159" t="e">
        <f t="shared" si="72"/>
        <v>#DIV/0!</v>
      </c>
      <c r="AH499" s="160">
        <f t="shared" si="72"/>
        <v>1805.6999999999998</v>
      </c>
      <c r="AI499" s="161">
        <f t="shared" si="73"/>
        <v>0</v>
      </c>
      <c r="AJ499" s="165"/>
      <c r="AK499" s="160">
        <f t="shared" si="75"/>
        <v>15.251797752808987</v>
      </c>
      <c r="AL499" s="158">
        <v>1357.4099999999999</v>
      </c>
      <c r="AM499" s="162">
        <f t="shared" si="76"/>
        <v>8.1988515978403633</v>
      </c>
      <c r="AN499" s="160">
        <f t="shared" si="76"/>
        <v>448.28999999999996</v>
      </c>
      <c r="AO499" s="349">
        <f t="shared" si="77"/>
        <v>0.33025393948770088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396" t="s">
        <v>34</v>
      </c>
      <c r="B500" s="3"/>
      <c r="C500" s="336" t="s">
        <v>490</v>
      </c>
      <c r="V500" s="272" t="s">
        <v>34</v>
      </c>
      <c r="W500" s="166"/>
      <c r="X500" s="145"/>
      <c r="Y500" s="167" t="e">
        <f t="shared" si="69"/>
        <v>#DIV/0!</v>
      </c>
      <c r="Z500" s="146">
        <f t="shared" si="70"/>
        <v>0</v>
      </c>
      <c r="AA500" s="145"/>
      <c r="AB500" s="167"/>
      <c r="AC500" s="146"/>
      <c r="AD500" s="168"/>
      <c r="AE500" s="148">
        <f t="shared" si="74"/>
        <v>69.732597402597406</v>
      </c>
      <c r="AF500" s="146">
        <f t="shared" si="71"/>
        <v>5369.41</v>
      </c>
      <c r="AG500" s="147" t="e">
        <f t="shared" si="72"/>
        <v>#DIV/0!</v>
      </c>
      <c r="AH500" s="148">
        <f t="shared" si="72"/>
        <v>5369.41</v>
      </c>
      <c r="AI500" s="169">
        <f t="shared" si="73"/>
        <v>0</v>
      </c>
      <c r="AJ500" s="168"/>
      <c r="AK500" s="148">
        <f t="shared" si="75"/>
        <v>0</v>
      </c>
      <c r="AL500" s="146">
        <v>0</v>
      </c>
      <c r="AM500" s="350">
        <f t="shared" si="76"/>
        <v>69.732597402597406</v>
      </c>
      <c r="AN500" s="148">
        <f t="shared" si="76"/>
        <v>5369.41</v>
      </c>
      <c r="AO500" s="343">
        <f t="shared" si="7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396" t="s">
        <v>35</v>
      </c>
      <c r="B501" s="3"/>
      <c r="C501" s="336" t="s">
        <v>490</v>
      </c>
      <c r="V501" s="271" t="s">
        <v>35</v>
      </c>
      <c r="W501" s="163" t="s">
        <v>132</v>
      </c>
      <c r="X501" s="161"/>
      <c r="Y501" s="164" t="e">
        <f t="shared" si="69"/>
        <v>#DIV/0!</v>
      </c>
      <c r="Z501" s="158">
        <f t="shared" si="70"/>
        <v>0</v>
      </c>
      <c r="AA501" s="161"/>
      <c r="AB501" s="164"/>
      <c r="AC501" s="158"/>
      <c r="AD501" s="165"/>
      <c r="AE501" s="160">
        <f t="shared" si="74"/>
        <v>350.50220779220786</v>
      </c>
      <c r="AF501" s="158">
        <f t="shared" si="71"/>
        <v>26988.670000000006</v>
      </c>
      <c r="AG501" s="159" t="e">
        <f t="shared" si="72"/>
        <v>#DIV/0!</v>
      </c>
      <c r="AH501" s="160">
        <f t="shared" si="72"/>
        <v>26988.670000000006</v>
      </c>
      <c r="AI501" s="161">
        <f t="shared" si="73"/>
        <v>0</v>
      </c>
      <c r="AJ501" s="165"/>
      <c r="AK501" s="160">
        <f t="shared" si="75"/>
        <v>239.77123595505617</v>
      </c>
      <c r="AL501" s="158">
        <v>21339.64</v>
      </c>
      <c r="AM501" s="162">
        <f t="shared" si="76"/>
        <v>110.73097183715169</v>
      </c>
      <c r="AN501" s="160">
        <f t="shared" si="76"/>
        <v>5649.0300000000061</v>
      </c>
      <c r="AO501" s="349">
        <f t="shared" si="77"/>
        <v>0.2647200233930847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396" t="s">
        <v>36</v>
      </c>
      <c r="B502" s="3"/>
      <c r="C502" s="336" t="s">
        <v>490</v>
      </c>
      <c r="V502" s="271" t="s">
        <v>36</v>
      </c>
      <c r="W502" s="163" t="s">
        <v>133</v>
      </c>
      <c r="X502" s="157"/>
      <c r="Y502" s="164" t="e">
        <f t="shared" si="69"/>
        <v>#DIV/0!</v>
      </c>
      <c r="Z502" s="158">
        <f t="shared" si="70"/>
        <v>0</v>
      </c>
      <c r="AA502" s="157"/>
      <c r="AB502" s="164"/>
      <c r="AC502" s="158"/>
      <c r="AD502" s="165"/>
      <c r="AE502" s="160">
        <f t="shared" si="74"/>
        <v>1125.7574025974022</v>
      </c>
      <c r="AF502" s="158">
        <f t="shared" si="71"/>
        <v>86683.319999999978</v>
      </c>
      <c r="AG502" s="159" t="e">
        <f t="shared" si="72"/>
        <v>#DIV/0!</v>
      </c>
      <c r="AH502" s="160">
        <f t="shared" si="72"/>
        <v>86683.319999999978</v>
      </c>
      <c r="AI502" s="161">
        <f t="shared" si="73"/>
        <v>0</v>
      </c>
      <c r="AJ502" s="165"/>
      <c r="AK502" s="160">
        <f t="shared" si="75"/>
        <v>1064.6433707865167</v>
      </c>
      <c r="AL502" s="158">
        <v>94753.25999999998</v>
      </c>
      <c r="AM502" s="162">
        <f t="shared" si="76"/>
        <v>61.114031810885535</v>
      </c>
      <c r="AN502" s="160">
        <f t="shared" si="76"/>
        <v>-8069.9400000000023</v>
      </c>
      <c r="AO502" s="349">
        <f t="shared" si="77"/>
        <v>-8.5167940395929426E-2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396" t="s">
        <v>19</v>
      </c>
      <c r="B503" s="3"/>
      <c r="C503" s="336" t="s">
        <v>490</v>
      </c>
      <c r="V503" s="271" t="s">
        <v>302</v>
      </c>
      <c r="W503" s="163"/>
      <c r="X503" s="161"/>
      <c r="Y503" s="164" t="e">
        <f t="shared" si="69"/>
        <v>#DIV/0!</v>
      </c>
      <c r="Z503" s="158">
        <f>IFERROR(SUMIF($C:$C,$V503,F:F),0)</f>
        <v>0</v>
      </c>
      <c r="AA503" s="157"/>
      <c r="AB503" s="164"/>
      <c r="AC503" s="158"/>
      <c r="AD503" s="165"/>
      <c r="AE503" s="160">
        <f>IF(AF503=0,0,AF503/(J$13+J$97))</f>
        <v>-1709.5550649350648</v>
      </c>
      <c r="AF503" s="158">
        <f>IFERROR(SUMIF($C:$C,$V503,L:L),0)</f>
        <v>-131635.74</v>
      </c>
      <c r="AG503" s="159" t="e">
        <f t="shared" si="72"/>
        <v>#DIV/0!</v>
      </c>
      <c r="AH503" s="160">
        <f t="shared" si="72"/>
        <v>-131635.74</v>
      </c>
      <c r="AI503" s="161">
        <f t="shared" si="73"/>
        <v>0</v>
      </c>
      <c r="AJ503" s="165"/>
      <c r="AK503" s="160">
        <f t="shared" si="75"/>
        <v>-1319.0044943820239</v>
      </c>
      <c r="AL503" s="158">
        <v>-117391.40000000014</v>
      </c>
      <c r="AM503" s="162">
        <f>AE503-AK503</f>
        <v>-390.55057055304087</v>
      </c>
      <c r="AN503" s="160">
        <f t="shared" si="76"/>
        <v>-14244.339999999851</v>
      </c>
      <c r="AO503" s="349">
        <f t="shared" si="77"/>
        <v>0.12134057520397434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396" t="s">
        <v>19</v>
      </c>
      <c r="B504" s="3"/>
      <c r="C504" s="336" t="s">
        <v>490</v>
      </c>
      <c r="V504" s="271" t="s">
        <v>303</v>
      </c>
      <c r="W504" s="163"/>
      <c r="X504" s="161"/>
      <c r="Y504" s="164" t="e">
        <f t="shared" si="69"/>
        <v>#DIV/0!</v>
      </c>
      <c r="Z504" s="158">
        <f>IFERROR(SUMIF($C:$C,$V504,F:F),0)</f>
        <v>0</v>
      </c>
      <c r="AA504" s="157"/>
      <c r="AB504" s="164"/>
      <c r="AC504" s="158"/>
      <c r="AD504" s="165"/>
      <c r="AE504" s="160">
        <f t="shared" si="74"/>
        <v>-218.52181818181813</v>
      </c>
      <c r="AF504" s="158">
        <f>IFERROR(SUMIF($C:$C,$V504,L:L),0)</f>
        <v>-16826.179999999997</v>
      </c>
      <c r="AG504" s="159" t="e">
        <f t="shared" si="72"/>
        <v>#DIV/0!</v>
      </c>
      <c r="AH504" s="160">
        <f t="shared" si="72"/>
        <v>-16826.179999999997</v>
      </c>
      <c r="AI504" s="161">
        <f t="shared" si="73"/>
        <v>0</v>
      </c>
      <c r="AJ504" s="165"/>
      <c r="AK504" s="160">
        <f t="shared" si="75"/>
        <v>0</v>
      </c>
      <c r="AL504" s="158">
        <v>0</v>
      </c>
      <c r="AM504" s="162">
        <f t="shared" si="76"/>
        <v>-218.52181818181813</v>
      </c>
      <c r="AN504" s="160">
        <f t="shared" si="76"/>
        <v>-16826.179999999997</v>
      </c>
      <c r="AO504" s="349">
        <f t="shared" si="7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396" t="s">
        <v>19</v>
      </c>
      <c r="B505" s="3"/>
      <c r="C505" s="336" t="s">
        <v>490</v>
      </c>
      <c r="V505" s="271" t="s">
        <v>19</v>
      </c>
      <c r="W505" s="163" t="s">
        <v>133</v>
      </c>
      <c r="X505" s="157"/>
      <c r="Y505" s="164" t="e">
        <f t="shared" si="69"/>
        <v>#DIV/0!</v>
      </c>
      <c r="Z505" s="158">
        <f>IFERROR(SUMIF($C:$C,$V505,F:F),0)</f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>IFERROR(SUMIF($C:$C,$V505,L:L),0)</f>
        <v>0</v>
      </c>
      <c r="AG505" s="159" t="e">
        <f t="shared" si="72"/>
        <v>#DIV/0!</v>
      </c>
      <c r="AH505" s="160">
        <f t="shared" si="72"/>
        <v>0</v>
      </c>
      <c r="AI505" s="161">
        <f t="shared" si="73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 t="shared" ref="AM505" si="78">AE505-Y505</f>
        <v>#DIV/0!</v>
      </c>
      <c r="AN505" s="160">
        <f t="shared" si="76"/>
        <v>0</v>
      </c>
      <c r="AO505" s="349">
        <f t="shared" si="7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396" t="s">
        <v>37</v>
      </c>
      <c r="B506" s="3"/>
      <c r="C506" s="336" t="s">
        <v>490</v>
      </c>
      <c r="V506" s="351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/>
      <c r="AB506" s="170"/>
      <c r="AC506" s="172"/>
      <c r="AD506" s="173">
        <f>AF506/AF494</f>
        <v>0.18110258369142568</v>
      </c>
      <c r="AE506" s="175"/>
      <c r="AF506" s="172">
        <f>SUM(AF496:AF505)</f>
        <v>106940.67000000007</v>
      </c>
      <c r="AG506" s="174"/>
      <c r="AH506" s="175">
        <f t="shared" si="72"/>
        <v>106940.67000000007</v>
      </c>
      <c r="AI506" s="171" t="e">
        <f>AH506/Z506</f>
        <v>#DIV/0!</v>
      </c>
      <c r="AJ506" s="173">
        <f>AL506/AL494</f>
        <v>5.0795539245015127E-2</v>
      </c>
      <c r="AK506" s="175"/>
      <c r="AL506" s="172">
        <f>SUM(AL496:AL505)</f>
        <v>43128.999999999825</v>
      </c>
      <c r="AM506" s="180"/>
      <c r="AN506" s="175">
        <f t="shared" si="76"/>
        <v>63811.670000000246</v>
      </c>
      <c r="AO506" s="346">
        <f t="shared" si="77"/>
        <v>1.4795536645876441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396" t="s">
        <v>134</v>
      </c>
      <c r="B507" s="3"/>
      <c r="C507" s="336" t="s">
        <v>490</v>
      </c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/>
      <c r="AC507" s="158"/>
      <c r="AD507" s="165"/>
      <c r="AE507" s="164"/>
      <c r="AF507" s="158">
        <v>5596.1700000000037</v>
      </c>
      <c r="AG507" s="159"/>
      <c r="AH507" s="160">
        <f t="shared" si="72"/>
        <v>5596.1700000000037</v>
      </c>
      <c r="AI507" s="161">
        <f t="shared" ref="AI507:AI519" si="79">IF(Z507=0,0,AH507/Z507)</f>
        <v>0</v>
      </c>
      <c r="AJ507" s="165"/>
      <c r="AK507" s="164"/>
      <c r="AL507" s="158">
        <v>8094.380000000001</v>
      </c>
      <c r="AM507" s="162"/>
      <c r="AN507" s="160">
        <f t="shared" si="76"/>
        <v>-2498.2099999999973</v>
      </c>
      <c r="AO507" s="349">
        <f t="shared" si="77"/>
        <v>-0.30863512708817686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396" t="s">
        <v>40</v>
      </c>
      <c r="B508" s="3"/>
      <c r="C508" s="336" t="s">
        <v>490</v>
      </c>
      <c r="V508" s="271" t="s">
        <v>40</v>
      </c>
      <c r="W508" s="163" t="s">
        <v>136</v>
      </c>
      <c r="X508" s="157"/>
      <c r="Y508" s="157"/>
      <c r="Z508" s="158">
        <f t="shared" ref="Z508:Z518" si="80">+SUMIF($C:$C,$V508,F:F)</f>
        <v>0</v>
      </c>
      <c r="AA508" s="157"/>
      <c r="AB508" s="157"/>
      <c r="AC508" s="158"/>
      <c r="AD508" s="165"/>
      <c r="AE508" s="164"/>
      <c r="AF508" s="158">
        <f>+SUMIF($C:$C,$V508,L:L)</f>
        <v>55698.840000000011</v>
      </c>
      <c r="AG508" s="159"/>
      <c r="AH508" s="160">
        <f t="shared" si="72"/>
        <v>55698.840000000011</v>
      </c>
      <c r="AI508" s="161">
        <f t="shared" si="79"/>
        <v>0</v>
      </c>
      <c r="AJ508" s="165"/>
      <c r="AK508" s="164"/>
      <c r="AL508" s="158">
        <v>45072.549999999996</v>
      </c>
      <c r="AM508" s="162"/>
      <c r="AN508" s="160">
        <f t="shared" si="76"/>
        <v>10626.290000000015</v>
      </c>
      <c r="AO508" s="349">
        <f t="shared" si="77"/>
        <v>0.23575968078131848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396" t="s">
        <v>41</v>
      </c>
      <c r="B509" s="3"/>
      <c r="C509" s="336" t="s">
        <v>490</v>
      </c>
      <c r="V509" s="272" t="s">
        <v>41</v>
      </c>
      <c r="W509" s="166" t="s">
        <v>137</v>
      </c>
      <c r="X509" s="145"/>
      <c r="Y509" s="145"/>
      <c r="Z509" s="146">
        <f t="shared" si="80"/>
        <v>0</v>
      </c>
      <c r="AA509" s="145"/>
      <c r="AB509" s="145"/>
      <c r="AC509" s="146"/>
      <c r="AD509" s="168"/>
      <c r="AE509" s="167"/>
      <c r="AF509" s="146">
        <f>+SUMIF($C:$C,$V509,L:L)</f>
        <v>44713.920000000013</v>
      </c>
      <c r="AG509" s="147"/>
      <c r="AH509" s="148">
        <f t="shared" si="72"/>
        <v>44713.920000000013</v>
      </c>
      <c r="AI509" s="169">
        <f t="shared" si="79"/>
        <v>0</v>
      </c>
      <c r="AJ509" s="168"/>
      <c r="AK509" s="167"/>
      <c r="AL509" s="146">
        <v>72337.109999999971</v>
      </c>
      <c r="AM509" s="150"/>
      <c r="AN509" s="148">
        <f t="shared" si="76"/>
        <v>-27623.189999999959</v>
      </c>
      <c r="AO509" s="343">
        <f t="shared" si="77"/>
        <v>-0.38186748129694387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396" t="s">
        <v>42</v>
      </c>
      <c r="B510" s="3"/>
      <c r="C510" s="336" t="s">
        <v>490</v>
      </c>
      <c r="V510" s="271" t="s">
        <v>42</v>
      </c>
      <c r="W510" s="163" t="s">
        <v>138</v>
      </c>
      <c r="X510" s="157"/>
      <c r="Y510" s="157"/>
      <c r="Z510" s="158">
        <f t="shared" si="80"/>
        <v>0</v>
      </c>
      <c r="AA510" s="157"/>
      <c r="AB510" s="157"/>
      <c r="AC510" s="158"/>
      <c r="AD510" s="165"/>
      <c r="AE510" s="164"/>
      <c r="AF510" s="158">
        <f>+SUMIF($C:$C,$V510,L:L)</f>
        <v>39199.399999999987</v>
      </c>
      <c r="AG510" s="159"/>
      <c r="AH510" s="160">
        <f t="shared" si="72"/>
        <v>39199.399999999987</v>
      </c>
      <c r="AI510" s="161">
        <f t="shared" si="79"/>
        <v>0</v>
      </c>
      <c r="AJ510" s="165"/>
      <c r="AK510" s="164"/>
      <c r="AL510" s="158">
        <v>89649.07</v>
      </c>
      <c r="AM510" s="162"/>
      <c r="AN510" s="160">
        <f t="shared" si="76"/>
        <v>-50449.67000000002</v>
      </c>
      <c r="AO510" s="349">
        <f t="shared" si="77"/>
        <v>-0.56274616122621257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396" t="s">
        <v>43</v>
      </c>
      <c r="B511" s="3"/>
      <c r="C511" s="336" t="s">
        <v>490</v>
      </c>
      <c r="V511" s="271" t="s">
        <v>43</v>
      </c>
      <c r="W511" s="163" t="s">
        <v>139</v>
      </c>
      <c r="X511" s="157"/>
      <c r="Y511" s="157"/>
      <c r="Z511" s="158">
        <f t="shared" si="80"/>
        <v>0</v>
      </c>
      <c r="AA511" s="157"/>
      <c r="AB511" s="157"/>
      <c r="AC511" s="158"/>
      <c r="AD511" s="165"/>
      <c r="AE511" s="164"/>
      <c r="AF511" s="158">
        <f>+SUMIF($C:$C,$V511,L:L)</f>
        <v>15574.6</v>
      </c>
      <c r="AG511" s="159"/>
      <c r="AH511" s="160">
        <f t="shared" si="72"/>
        <v>15574.6</v>
      </c>
      <c r="AI511" s="161">
        <f t="shared" si="79"/>
        <v>0</v>
      </c>
      <c r="AJ511" s="165"/>
      <c r="AK511" s="164"/>
      <c r="AL511" s="158">
        <v>0</v>
      </c>
      <c r="AM511" s="162"/>
      <c r="AN511" s="160">
        <f t="shared" si="76"/>
        <v>15574.6</v>
      </c>
      <c r="AO511" s="349">
        <f t="shared" si="7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396" t="s">
        <v>19</v>
      </c>
      <c r="B512" s="3"/>
      <c r="C512" s="336" t="s">
        <v>490</v>
      </c>
      <c r="V512" s="271" t="s">
        <v>19</v>
      </c>
      <c r="W512" s="163"/>
      <c r="X512" s="157"/>
      <c r="Y512" s="157"/>
      <c r="Z512" s="158">
        <f t="shared" si="80"/>
        <v>0</v>
      </c>
      <c r="AA512" s="157"/>
      <c r="AB512" s="157"/>
      <c r="AC512" s="158"/>
      <c r="AD512" s="165"/>
      <c r="AE512" s="164"/>
      <c r="AF512" s="158">
        <f>IFERROR(SUMIF($C:$C,$V512,L:L),0)</f>
        <v>0</v>
      </c>
      <c r="AG512" s="159"/>
      <c r="AH512" s="160">
        <f t="shared" ref="AH512:AH538" si="81">AF512-Z512</f>
        <v>0</v>
      </c>
      <c r="AI512" s="161">
        <f t="shared" si="79"/>
        <v>0</v>
      </c>
      <c r="AJ512" s="165"/>
      <c r="AK512" s="164"/>
      <c r="AL512" s="158">
        <v>0</v>
      </c>
      <c r="AM512" s="162"/>
      <c r="AN512" s="160">
        <f t="shared" si="76"/>
        <v>0</v>
      </c>
      <c r="AO512" s="349">
        <f t="shared" si="7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396" t="s">
        <v>19</v>
      </c>
      <c r="B513" s="3"/>
      <c r="C513" s="336" t="s">
        <v>490</v>
      </c>
      <c r="V513" s="271" t="s">
        <v>19</v>
      </c>
      <c r="W513" s="163"/>
      <c r="X513" s="157"/>
      <c r="Y513" s="157"/>
      <c r="Z513" s="158">
        <f t="shared" si="80"/>
        <v>0</v>
      </c>
      <c r="AA513" s="157"/>
      <c r="AB513" s="157"/>
      <c r="AC513" s="158"/>
      <c r="AD513" s="165"/>
      <c r="AE513" s="164"/>
      <c r="AF513" s="158">
        <f>IFERROR(SUMIF($C:$C,$V513,L:L),0)</f>
        <v>0</v>
      </c>
      <c r="AG513" s="159"/>
      <c r="AH513" s="160">
        <f t="shared" si="81"/>
        <v>0</v>
      </c>
      <c r="AI513" s="161">
        <f t="shared" si="79"/>
        <v>0</v>
      </c>
      <c r="AJ513" s="165"/>
      <c r="AK513" s="164"/>
      <c r="AL513" s="158">
        <v>0</v>
      </c>
      <c r="AM513" s="162"/>
      <c r="AN513" s="160">
        <f t="shared" ref="AN513:AN553" si="82">AF513-AL513</f>
        <v>0</v>
      </c>
      <c r="AO513" s="349">
        <f t="shared" si="7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396" t="s">
        <v>19</v>
      </c>
      <c r="B514" s="3"/>
      <c r="C514" s="336" t="s">
        <v>490</v>
      </c>
      <c r="V514" s="271" t="s">
        <v>19</v>
      </c>
      <c r="W514" s="163"/>
      <c r="X514" s="157"/>
      <c r="Y514" s="157"/>
      <c r="Z514" s="158">
        <f t="shared" si="80"/>
        <v>0</v>
      </c>
      <c r="AA514" s="157"/>
      <c r="AB514" s="157"/>
      <c r="AC514" s="158"/>
      <c r="AD514" s="165"/>
      <c r="AE514" s="164"/>
      <c r="AF514" s="158">
        <f>IFERROR(SUMIF($C:$C,$V514,L:L),0)</f>
        <v>0</v>
      </c>
      <c r="AG514" s="159"/>
      <c r="AH514" s="160">
        <f t="shared" si="81"/>
        <v>0</v>
      </c>
      <c r="AI514" s="161">
        <f t="shared" si="79"/>
        <v>0</v>
      </c>
      <c r="AJ514" s="165"/>
      <c r="AK514" s="164"/>
      <c r="AL514" s="158">
        <v>0</v>
      </c>
      <c r="AM514" s="162"/>
      <c r="AN514" s="160">
        <f t="shared" si="82"/>
        <v>0</v>
      </c>
      <c r="AO514" s="349">
        <f t="shared" si="7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396" t="s">
        <v>44</v>
      </c>
      <c r="B515" s="3"/>
      <c r="C515" s="336" t="s">
        <v>490</v>
      </c>
      <c r="V515" s="272" t="s">
        <v>44</v>
      </c>
      <c r="W515" s="166" t="s">
        <v>140</v>
      </c>
      <c r="X515" s="145"/>
      <c r="Y515" s="352" t="e">
        <f>Z515/(SUM(Z507:Z511)+E268-F268+Z496+Z497)</f>
        <v>#DIV/0!</v>
      </c>
      <c r="Z515" s="146">
        <f t="shared" si="80"/>
        <v>0</v>
      </c>
      <c r="AA515" s="145"/>
      <c r="AB515" s="145"/>
      <c r="AC515" s="146"/>
      <c r="AD515" s="168"/>
      <c r="AE515" s="167"/>
      <c r="AF515" s="146">
        <f>+SUMIF($C:$C,$V515,L:L)</f>
        <v>40786.89</v>
      </c>
      <c r="AG515" s="147"/>
      <c r="AH515" s="148">
        <f t="shared" si="81"/>
        <v>40786.89</v>
      </c>
      <c r="AI515" s="169">
        <f t="shared" si="79"/>
        <v>0</v>
      </c>
      <c r="AJ515" s="168"/>
      <c r="AK515" s="167"/>
      <c r="AL515" s="146">
        <v>53444.460000000006</v>
      </c>
      <c r="AM515" s="150"/>
      <c r="AN515" s="148">
        <f t="shared" si="82"/>
        <v>-12657.570000000007</v>
      </c>
      <c r="AO515" s="343">
        <f t="shared" si="77"/>
        <v>-0.2368359601724857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396" t="s">
        <v>45</v>
      </c>
      <c r="B516" s="3"/>
      <c r="C516" s="336" t="s">
        <v>490</v>
      </c>
      <c r="V516" s="271" t="s">
        <v>45</v>
      </c>
      <c r="W516" s="163" t="s">
        <v>141</v>
      </c>
      <c r="X516" s="157"/>
      <c r="Y516" s="353" t="e">
        <f>Z516/(SUM(Z507:Z511)+E268-F268+Z496+Z497)</f>
        <v>#DIV/0!</v>
      </c>
      <c r="Z516" s="158">
        <f t="shared" si="80"/>
        <v>0</v>
      </c>
      <c r="AA516" s="157"/>
      <c r="AB516" s="157"/>
      <c r="AC516" s="158"/>
      <c r="AD516" s="165"/>
      <c r="AE516" s="164"/>
      <c r="AF516" s="158">
        <f>+SUMIF($C:$C,$V516,L:L)</f>
        <v>50179.549999999996</v>
      </c>
      <c r="AG516" s="159"/>
      <c r="AH516" s="160">
        <f t="shared" si="81"/>
        <v>50179.549999999996</v>
      </c>
      <c r="AI516" s="161">
        <f t="shared" si="79"/>
        <v>0</v>
      </c>
      <c r="AJ516" s="165"/>
      <c r="AK516" s="164"/>
      <c r="AL516" s="158">
        <v>43676.28</v>
      </c>
      <c r="AM516" s="162"/>
      <c r="AN516" s="160">
        <f t="shared" si="82"/>
        <v>6503.2699999999968</v>
      </c>
      <c r="AO516" s="349">
        <f t="shared" si="77"/>
        <v>0.14889706724107449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396" t="s">
        <v>46</v>
      </c>
      <c r="B517" s="3"/>
      <c r="C517" s="336" t="s">
        <v>490</v>
      </c>
      <c r="V517" s="271" t="s">
        <v>46</v>
      </c>
      <c r="W517" s="163" t="s">
        <v>142</v>
      </c>
      <c r="X517" s="157"/>
      <c r="Y517" s="353" t="e">
        <f>Z517/(SUM(Z507:Z511)+E268-F268+Z497+Z496)</f>
        <v>#DIV/0!</v>
      </c>
      <c r="Z517" s="158">
        <f t="shared" si="80"/>
        <v>0</v>
      </c>
      <c r="AA517" s="157"/>
      <c r="AB517" s="157"/>
      <c r="AC517" s="158"/>
      <c r="AD517" s="165"/>
      <c r="AE517" s="164"/>
      <c r="AF517" s="158">
        <f>+SUMIF($C:$C,$V517,L:L)</f>
        <v>10900.640000000003</v>
      </c>
      <c r="AG517" s="159"/>
      <c r="AH517" s="160">
        <f t="shared" si="81"/>
        <v>10900.640000000003</v>
      </c>
      <c r="AI517" s="161">
        <f t="shared" si="79"/>
        <v>0</v>
      </c>
      <c r="AJ517" s="165"/>
      <c r="AK517" s="164"/>
      <c r="AL517" s="158">
        <v>17620.96</v>
      </c>
      <c r="AM517" s="162"/>
      <c r="AN517" s="160">
        <f t="shared" si="82"/>
        <v>-6720.3199999999961</v>
      </c>
      <c r="AO517" s="349">
        <f t="shared" si="77"/>
        <v>-0.38138217214045073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396" t="s">
        <v>47</v>
      </c>
      <c r="B518" s="3"/>
      <c r="C518" s="336" t="s">
        <v>490</v>
      </c>
      <c r="V518" s="271" t="s">
        <v>47</v>
      </c>
      <c r="W518" s="163"/>
      <c r="X518" s="157"/>
      <c r="Y518" s="157"/>
      <c r="Z518" s="158">
        <f t="shared" si="80"/>
        <v>0</v>
      </c>
      <c r="AA518" s="157"/>
      <c r="AB518" s="157"/>
      <c r="AC518" s="158"/>
      <c r="AD518" s="165"/>
      <c r="AE518" s="164"/>
      <c r="AF518" s="158">
        <f>+SUMIF($C:$C,$V518,L:L)</f>
        <v>11635.760000000002</v>
      </c>
      <c r="AG518" s="159"/>
      <c r="AH518" s="160">
        <f t="shared" si="81"/>
        <v>11635.760000000002</v>
      </c>
      <c r="AI518" s="177">
        <f t="shared" si="79"/>
        <v>0</v>
      </c>
      <c r="AJ518" s="165"/>
      <c r="AK518" s="164"/>
      <c r="AL518" s="158">
        <v>1233.23</v>
      </c>
      <c r="AM518" s="162"/>
      <c r="AN518" s="160">
        <f t="shared" si="82"/>
        <v>10402.530000000002</v>
      </c>
      <c r="AO518" s="349">
        <f t="shared" si="77"/>
        <v>8.4351905159621499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396" t="s">
        <v>19</v>
      </c>
      <c r="B519" s="3"/>
      <c r="C519" s="336" t="s">
        <v>490</v>
      </c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81"/>
        <v>0</v>
      </c>
      <c r="AI519" s="161">
        <f t="shared" si="79"/>
        <v>0</v>
      </c>
      <c r="AJ519" s="165"/>
      <c r="AK519" s="164"/>
      <c r="AL519" s="158">
        <f>IFERROR(SUMIF($C:$C,$V519,R:R),0)</f>
        <v>0</v>
      </c>
      <c r="AM519" s="162"/>
      <c r="AN519" s="160">
        <f t="shared" si="82"/>
        <v>0</v>
      </c>
      <c r="AO519" s="343">
        <f t="shared" si="77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396" t="s">
        <v>48</v>
      </c>
      <c r="B520" s="3"/>
      <c r="C520" s="336" t="s">
        <v>490</v>
      </c>
      <c r="V520" s="351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/>
      <c r="AB520" s="170"/>
      <c r="AC520" s="172"/>
      <c r="AD520" s="173">
        <f>AF520/AF494</f>
        <v>0.46449925567879935</v>
      </c>
      <c r="AE520" s="178"/>
      <c r="AF520" s="172">
        <f>SUM(AF507:AF519)</f>
        <v>274285.77</v>
      </c>
      <c r="AG520" s="174"/>
      <c r="AH520" s="175">
        <f t="shared" si="81"/>
        <v>274285.77</v>
      </c>
      <c r="AI520" s="171" t="e">
        <f>AH520/Z520</f>
        <v>#DIV/0!</v>
      </c>
      <c r="AJ520" s="173">
        <f>AL520/AL494</f>
        <v>0.38998880917584466</v>
      </c>
      <c r="AK520" s="178"/>
      <c r="AL520" s="172">
        <f>SUM(AL507:AL519)</f>
        <v>331128.03999999998</v>
      </c>
      <c r="AM520" s="180"/>
      <c r="AN520" s="175">
        <f t="shared" si="82"/>
        <v>-56842.26999999996</v>
      </c>
      <c r="AO520" s="346">
        <f t="shared" si="77"/>
        <v>-0.17166250855711274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396" t="s">
        <v>49</v>
      </c>
      <c r="B521" s="3"/>
      <c r="C521" s="336" t="s">
        <v>490</v>
      </c>
      <c r="V521" s="329" t="s">
        <v>49</v>
      </c>
      <c r="W521" s="181" t="s">
        <v>132</v>
      </c>
      <c r="X521" s="182"/>
      <c r="Y521" s="182"/>
      <c r="Z521" s="183">
        <f t="shared" ref="Z521:Z535" si="83">+SUMIF($C:$C,$V521,F:F)</f>
        <v>0</v>
      </c>
      <c r="AA521" s="182"/>
      <c r="AB521" s="182"/>
      <c r="AC521" s="183"/>
      <c r="AD521" s="184"/>
      <c r="AE521" s="185"/>
      <c r="AF521" s="183">
        <f>+SUMIF($C:$C,$V521,L:L)</f>
        <v>2511.9599999999987</v>
      </c>
      <c r="AG521" s="184"/>
      <c r="AH521" s="186">
        <f t="shared" si="81"/>
        <v>2511.9599999999987</v>
      </c>
      <c r="AI521" s="187">
        <f t="shared" ref="AI521:AI538" si="84">IF(Z521=0,0,AH521/Z521)</f>
        <v>0</v>
      </c>
      <c r="AJ521" s="184"/>
      <c r="AK521" s="185"/>
      <c r="AL521" s="183">
        <v>2235.0999999999995</v>
      </c>
      <c r="AM521" s="188"/>
      <c r="AN521" s="186">
        <f t="shared" si="82"/>
        <v>276.85999999999922</v>
      </c>
      <c r="AO521" s="348">
        <f t="shared" si="77"/>
        <v>0.12386917811283579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396" t="s">
        <v>50</v>
      </c>
      <c r="B522" s="3"/>
      <c r="C522" s="336" t="s">
        <v>490</v>
      </c>
      <c r="V522" s="271" t="s">
        <v>50</v>
      </c>
      <c r="W522" s="163" t="s">
        <v>143</v>
      </c>
      <c r="X522" s="157"/>
      <c r="Y522" s="157"/>
      <c r="Z522" s="158">
        <f t="shared" si="83"/>
        <v>0</v>
      </c>
      <c r="AA522" s="157"/>
      <c r="AB522" s="157"/>
      <c r="AC522" s="158"/>
      <c r="AD522" s="165"/>
      <c r="AE522" s="164"/>
      <c r="AF522" s="158">
        <f>+SUMIF($C:$C,$V522,L:L)</f>
        <v>9621.94</v>
      </c>
      <c r="AG522" s="159"/>
      <c r="AH522" s="160">
        <f t="shared" si="81"/>
        <v>9621.94</v>
      </c>
      <c r="AI522" s="161">
        <f t="shared" si="84"/>
        <v>0</v>
      </c>
      <c r="AJ522" s="165"/>
      <c r="AK522" s="164"/>
      <c r="AL522" s="158">
        <v>3709.4199999999992</v>
      </c>
      <c r="AM522" s="162"/>
      <c r="AN522" s="160">
        <f t="shared" si="82"/>
        <v>5912.5200000000013</v>
      </c>
      <c r="AO522" s="349">
        <f t="shared" si="77"/>
        <v>1.5939203433420865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396" t="s">
        <v>51</v>
      </c>
      <c r="B523" s="3"/>
      <c r="C523" s="336" t="s">
        <v>490</v>
      </c>
      <c r="U523" s="386"/>
      <c r="V523" s="272" t="s">
        <v>51</v>
      </c>
      <c r="W523" s="166" t="s">
        <v>144</v>
      </c>
      <c r="X523" s="145"/>
      <c r="Y523" s="145"/>
      <c r="Z523" s="146">
        <f t="shared" si="83"/>
        <v>0</v>
      </c>
      <c r="AA523" s="145"/>
      <c r="AB523" s="145"/>
      <c r="AC523" s="146"/>
      <c r="AD523" s="168"/>
      <c r="AE523" s="167"/>
      <c r="AF523" s="146">
        <f>+SUMIF($C:$C,$V523,L:L)</f>
        <v>23770.319999999992</v>
      </c>
      <c r="AG523" s="147"/>
      <c r="AH523" s="148">
        <f t="shared" si="81"/>
        <v>23770.319999999992</v>
      </c>
      <c r="AI523" s="169">
        <f t="shared" si="84"/>
        <v>0</v>
      </c>
      <c r="AJ523" s="168"/>
      <c r="AK523" s="167"/>
      <c r="AL523" s="146">
        <v>35756.459999999992</v>
      </c>
      <c r="AM523" s="150"/>
      <c r="AN523" s="148">
        <f t="shared" si="82"/>
        <v>-11986.14</v>
      </c>
      <c r="AO523" s="343">
        <f t="shared" si="77"/>
        <v>-0.33521607004720272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396" t="s">
        <v>52</v>
      </c>
      <c r="B524" s="3"/>
      <c r="C524" s="336" t="s">
        <v>490</v>
      </c>
      <c r="U524" s="386"/>
      <c r="V524" s="271" t="s">
        <v>52</v>
      </c>
      <c r="W524" s="163" t="s">
        <v>145</v>
      </c>
      <c r="X524" s="157"/>
      <c r="Y524" s="157"/>
      <c r="Z524" s="158">
        <f t="shared" si="83"/>
        <v>0</v>
      </c>
      <c r="AA524" s="157"/>
      <c r="AB524" s="157"/>
      <c r="AC524" s="158"/>
      <c r="AD524" s="165"/>
      <c r="AE524" s="164"/>
      <c r="AF524" s="158">
        <f>+SUMIF($C:$C,$V524,L:L)</f>
        <v>14959.69</v>
      </c>
      <c r="AG524" s="159"/>
      <c r="AH524" s="160">
        <f t="shared" si="81"/>
        <v>14959.69</v>
      </c>
      <c r="AI524" s="161">
        <f t="shared" si="84"/>
        <v>0</v>
      </c>
      <c r="AJ524" s="165"/>
      <c r="AK524" s="164"/>
      <c r="AL524" s="158">
        <v>12222.409999999998</v>
      </c>
      <c r="AM524" s="162"/>
      <c r="AN524" s="160">
        <f t="shared" si="82"/>
        <v>2737.2800000000025</v>
      </c>
      <c r="AO524" s="349">
        <f t="shared" si="77"/>
        <v>0.22395583195130936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396" t="s">
        <v>53</v>
      </c>
      <c r="B525" s="3"/>
      <c r="C525" s="336" t="s">
        <v>490</v>
      </c>
      <c r="U525" s="386"/>
      <c r="V525" s="271" t="s">
        <v>53</v>
      </c>
      <c r="W525" s="163" t="s">
        <v>146</v>
      </c>
      <c r="X525" s="157"/>
      <c r="Y525" s="157"/>
      <c r="Z525" s="158">
        <f t="shared" si="83"/>
        <v>0</v>
      </c>
      <c r="AA525" s="157"/>
      <c r="AB525" s="157"/>
      <c r="AC525" s="158"/>
      <c r="AD525" s="165"/>
      <c r="AE525" s="164"/>
      <c r="AF525" s="158">
        <f>+SUMIF($C:$C,$V525,L:L)</f>
        <v>2282.8000000000025</v>
      </c>
      <c r="AG525" s="159"/>
      <c r="AH525" s="160">
        <f t="shared" si="81"/>
        <v>2282.8000000000025</v>
      </c>
      <c r="AI525" s="161">
        <f t="shared" si="84"/>
        <v>0</v>
      </c>
      <c r="AJ525" s="165"/>
      <c r="AK525" s="164"/>
      <c r="AL525" s="158">
        <v>7068.2400000000061</v>
      </c>
      <c r="AM525" s="162"/>
      <c r="AN525" s="160">
        <f t="shared" si="82"/>
        <v>-4785.4400000000041</v>
      </c>
      <c r="AO525" s="349">
        <f t="shared" si="77"/>
        <v>-0.67703416975088559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396" t="s">
        <v>54</v>
      </c>
      <c r="B526" s="3"/>
      <c r="C526" s="336" t="s">
        <v>490</v>
      </c>
      <c r="V526" s="271" t="s">
        <v>54</v>
      </c>
      <c r="W526" s="163" t="s">
        <v>147</v>
      </c>
      <c r="X526" s="157"/>
      <c r="Y526" s="157"/>
      <c r="Z526" s="158">
        <f t="shared" si="83"/>
        <v>0</v>
      </c>
      <c r="AA526" s="157"/>
      <c r="AB526" s="157"/>
      <c r="AC526" s="158"/>
      <c r="AD526" s="165"/>
      <c r="AE526" s="164"/>
      <c r="AF526" s="158">
        <v>22492.410000000007</v>
      </c>
      <c r="AG526" s="159"/>
      <c r="AH526" s="160">
        <f t="shared" si="81"/>
        <v>22492.410000000007</v>
      </c>
      <c r="AI526" s="161">
        <f t="shared" si="84"/>
        <v>0</v>
      </c>
      <c r="AJ526" s="165"/>
      <c r="AK526" s="164"/>
      <c r="AL526" s="158">
        <v>34695.480000000003</v>
      </c>
      <c r="AM526" s="162"/>
      <c r="AN526" s="160">
        <f t="shared" si="82"/>
        <v>-12203.069999999996</v>
      </c>
      <c r="AO526" s="349">
        <f t="shared" si="77"/>
        <v>-0.35171930176495597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6" t="s">
        <v>490</v>
      </c>
      <c r="V527" s="329" t="s">
        <v>93</v>
      </c>
      <c r="W527" s="181"/>
      <c r="X527" s="182"/>
      <c r="Y527" s="182"/>
      <c r="Z527" s="183">
        <f t="shared" si="83"/>
        <v>0</v>
      </c>
      <c r="AA527" s="182"/>
      <c r="AB527" s="182"/>
      <c r="AC527" s="183"/>
      <c r="AD527" s="184"/>
      <c r="AE527" s="185"/>
      <c r="AF527" s="183">
        <f t="shared" ref="AF527:AF532" si="85">+SUMIF($C:$C,$V527,L:L)</f>
        <v>0</v>
      </c>
      <c r="AG527" s="355"/>
      <c r="AH527" s="186">
        <f t="shared" si="81"/>
        <v>0</v>
      </c>
      <c r="AI527" s="187">
        <f t="shared" si="84"/>
        <v>0</v>
      </c>
      <c r="AJ527" s="184"/>
      <c r="AK527" s="185"/>
      <c r="AL527" s="183">
        <v>0</v>
      </c>
      <c r="AM527" s="188"/>
      <c r="AN527" s="186">
        <f t="shared" si="82"/>
        <v>0</v>
      </c>
      <c r="AO527" s="348">
        <f t="shared" si="77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396" t="s">
        <v>55</v>
      </c>
      <c r="B528" s="3"/>
      <c r="C528" s="336" t="s">
        <v>490</v>
      </c>
      <c r="V528" s="271" t="s">
        <v>55</v>
      </c>
      <c r="W528" s="163" t="s">
        <v>148</v>
      </c>
      <c r="X528" s="157"/>
      <c r="Y528" s="164"/>
      <c r="Z528" s="158">
        <f t="shared" si="83"/>
        <v>0</v>
      </c>
      <c r="AA528" s="157"/>
      <c r="AB528" s="164"/>
      <c r="AC528" s="158"/>
      <c r="AD528" s="165"/>
      <c r="AE528" s="164"/>
      <c r="AF528" s="158">
        <f t="shared" si="85"/>
        <v>11835.479999999996</v>
      </c>
      <c r="AG528" s="159"/>
      <c r="AH528" s="160">
        <f t="shared" si="81"/>
        <v>11835.479999999996</v>
      </c>
      <c r="AI528" s="161">
        <f t="shared" si="84"/>
        <v>0</v>
      </c>
      <c r="AJ528" s="165"/>
      <c r="AK528" s="164"/>
      <c r="AL528" s="158">
        <v>9011.630000000001</v>
      </c>
      <c r="AM528" s="162"/>
      <c r="AN528" s="160">
        <f t="shared" si="82"/>
        <v>2823.8499999999949</v>
      </c>
      <c r="AO528" s="349">
        <f t="shared" si="77"/>
        <v>0.31335618528501441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396" t="s">
        <v>56</v>
      </c>
      <c r="B529" s="3"/>
      <c r="C529" s="336" t="s">
        <v>490</v>
      </c>
      <c r="U529" s="6"/>
      <c r="V529" s="271" t="s">
        <v>56</v>
      </c>
      <c r="W529" s="163" t="s">
        <v>149</v>
      </c>
      <c r="X529" s="157"/>
      <c r="Y529" s="157"/>
      <c r="Z529" s="158">
        <f t="shared" si="83"/>
        <v>0</v>
      </c>
      <c r="AA529" s="157"/>
      <c r="AB529" s="157"/>
      <c r="AC529" s="158"/>
      <c r="AD529" s="165"/>
      <c r="AE529" s="164"/>
      <c r="AF529" s="158">
        <f t="shared" si="85"/>
        <v>0</v>
      </c>
      <c r="AG529" s="159"/>
      <c r="AH529" s="160">
        <f t="shared" si="81"/>
        <v>0</v>
      </c>
      <c r="AI529" s="177">
        <f t="shared" si="84"/>
        <v>0</v>
      </c>
      <c r="AJ529" s="165"/>
      <c r="AK529" s="164"/>
      <c r="AL529" s="158">
        <v>0</v>
      </c>
      <c r="AM529" s="162"/>
      <c r="AN529" s="160">
        <f t="shared" si="82"/>
        <v>0</v>
      </c>
      <c r="AO529" s="349">
        <f t="shared" si="77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396" t="s">
        <v>57</v>
      </c>
      <c r="B530" s="3"/>
      <c r="C530" s="336" t="s">
        <v>490</v>
      </c>
      <c r="T530" s="6"/>
      <c r="U530" s="6"/>
      <c r="V530" s="271" t="s">
        <v>57</v>
      </c>
      <c r="W530" s="163" t="s">
        <v>150</v>
      </c>
      <c r="X530" s="157"/>
      <c r="Y530" s="157"/>
      <c r="Z530" s="158">
        <f t="shared" si="83"/>
        <v>0</v>
      </c>
      <c r="AA530" s="157"/>
      <c r="AB530" s="157"/>
      <c r="AC530" s="158"/>
      <c r="AD530" s="165"/>
      <c r="AE530" s="164"/>
      <c r="AF530" s="158">
        <f t="shared" si="85"/>
        <v>2223.4799999999982</v>
      </c>
      <c r="AG530" s="159"/>
      <c r="AH530" s="160">
        <f t="shared" si="81"/>
        <v>2223.4799999999982</v>
      </c>
      <c r="AI530" s="161">
        <f t="shared" si="84"/>
        <v>0</v>
      </c>
      <c r="AJ530" s="165"/>
      <c r="AK530" s="164"/>
      <c r="AL530" s="158">
        <v>3388.9999999999977</v>
      </c>
      <c r="AM530" s="162"/>
      <c r="AN530" s="160">
        <f t="shared" si="82"/>
        <v>-1165.5199999999995</v>
      </c>
      <c r="AO530" s="349">
        <f t="shared" si="77"/>
        <v>-0.34391265860135745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396" t="s">
        <v>58</v>
      </c>
      <c r="B531" s="3"/>
      <c r="C531" s="336" t="s">
        <v>490</v>
      </c>
      <c r="T531" s="6"/>
      <c r="U531" s="6"/>
      <c r="V531" s="271" t="s">
        <v>58</v>
      </c>
      <c r="W531" s="163" t="s">
        <v>151</v>
      </c>
      <c r="X531" s="157"/>
      <c r="Y531" s="157"/>
      <c r="Z531" s="158">
        <f t="shared" si="83"/>
        <v>0</v>
      </c>
      <c r="AA531" s="157"/>
      <c r="AB531" s="157"/>
      <c r="AC531" s="158"/>
      <c r="AD531" s="165"/>
      <c r="AE531" s="164"/>
      <c r="AF531" s="158">
        <f t="shared" si="85"/>
        <v>2285.6500000000005</v>
      </c>
      <c r="AG531" s="159"/>
      <c r="AH531" s="160">
        <f t="shared" si="81"/>
        <v>2285.6500000000005</v>
      </c>
      <c r="AI531" s="177">
        <f t="shared" si="84"/>
        <v>0</v>
      </c>
      <c r="AJ531" s="165"/>
      <c r="AK531" s="164"/>
      <c r="AL531" s="158">
        <v>3484.2200000000007</v>
      </c>
      <c r="AM531" s="162"/>
      <c r="AN531" s="160">
        <f t="shared" si="82"/>
        <v>-1198.5700000000002</v>
      </c>
      <c r="AO531" s="349">
        <f t="shared" si="77"/>
        <v>-0.34399951782608446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396" t="s">
        <v>59</v>
      </c>
      <c r="B532" s="3"/>
      <c r="C532" s="336" t="s">
        <v>490</v>
      </c>
      <c r="T532" s="6"/>
      <c r="U532" s="6"/>
      <c r="V532" s="271" t="s">
        <v>59</v>
      </c>
      <c r="W532" s="163" t="s">
        <v>152</v>
      </c>
      <c r="X532" s="157"/>
      <c r="Y532" s="157"/>
      <c r="Z532" s="158">
        <f t="shared" si="83"/>
        <v>0</v>
      </c>
      <c r="AA532" s="157"/>
      <c r="AB532" s="157"/>
      <c r="AC532" s="158"/>
      <c r="AD532" s="165"/>
      <c r="AE532" s="164"/>
      <c r="AF532" s="158">
        <f t="shared" si="85"/>
        <v>4919.7100000000019</v>
      </c>
      <c r="AG532" s="159"/>
      <c r="AH532" s="160">
        <f t="shared" si="81"/>
        <v>4919.7100000000019</v>
      </c>
      <c r="AI532" s="161">
        <f t="shared" si="84"/>
        <v>0</v>
      </c>
      <c r="AJ532" s="165"/>
      <c r="AK532" s="164"/>
      <c r="AL532" s="158">
        <v>3595.4400000000014</v>
      </c>
      <c r="AM532" s="162"/>
      <c r="AN532" s="160">
        <f t="shared" si="82"/>
        <v>1324.2700000000004</v>
      </c>
      <c r="AO532" s="349">
        <f t="shared" si="77"/>
        <v>0.36831931557750924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396" t="s">
        <v>60</v>
      </c>
      <c r="B533" s="3"/>
      <c r="C533" s="336" t="s">
        <v>490</v>
      </c>
      <c r="T533" s="6"/>
      <c r="U533" s="6"/>
      <c r="V533" s="271" t="s">
        <v>60</v>
      </c>
      <c r="W533" s="163" t="s">
        <v>153</v>
      </c>
      <c r="X533" s="157"/>
      <c r="Y533" s="164"/>
      <c r="Z533" s="158">
        <f t="shared" si="83"/>
        <v>0</v>
      </c>
      <c r="AA533" s="157"/>
      <c r="AB533" s="164"/>
      <c r="AC533" s="158"/>
      <c r="AD533" s="165"/>
      <c r="AE533" s="164"/>
      <c r="AF533" s="158">
        <v>7530.1099999999979</v>
      </c>
      <c r="AG533" s="159"/>
      <c r="AH533" s="160">
        <f t="shared" si="81"/>
        <v>7530.1099999999979</v>
      </c>
      <c r="AI533" s="177">
        <f t="shared" si="84"/>
        <v>0</v>
      </c>
      <c r="AJ533" s="165"/>
      <c r="AK533" s="164"/>
      <c r="AL533" s="158">
        <v>8306.07</v>
      </c>
      <c r="AM533" s="162"/>
      <c r="AN533" s="160">
        <f t="shared" si="82"/>
        <v>-775.96000000000186</v>
      </c>
      <c r="AO533" s="349">
        <f t="shared" si="77"/>
        <v>-9.3420835605768054E-2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396" t="s">
        <v>61</v>
      </c>
      <c r="B534" s="3"/>
      <c r="C534" s="336" t="s">
        <v>490</v>
      </c>
      <c r="T534" s="6"/>
      <c r="U534" s="6"/>
      <c r="V534" s="271" t="s">
        <v>61</v>
      </c>
      <c r="W534" s="163" t="s">
        <v>154</v>
      </c>
      <c r="X534" s="157"/>
      <c r="Y534" s="164"/>
      <c r="Z534" s="158">
        <f t="shared" si="83"/>
        <v>0</v>
      </c>
      <c r="AA534" s="157"/>
      <c r="AB534" s="164"/>
      <c r="AC534" s="158"/>
      <c r="AD534" s="165"/>
      <c r="AE534" s="164"/>
      <c r="AF534" s="158">
        <f>+SUMIF($C:$C,$V534,L:L)</f>
        <v>3841.74</v>
      </c>
      <c r="AG534" s="159"/>
      <c r="AH534" s="160">
        <f t="shared" si="81"/>
        <v>3841.74</v>
      </c>
      <c r="AI534" s="161">
        <f t="shared" si="84"/>
        <v>0</v>
      </c>
      <c r="AJ534" s="165"/>
      <c r="AK534" s="164"/>
      <c r="AL534" s="158">
        <v>1958.6000000000004</v>
      </c>
      <c r="AM534" s="162"/>
      <c r="AN534" s="160">
        <f t="shared" si="82"/>
        <v>1883.1399999999994</v>
      </c>
      <c r="AO534" s="349">
        <f t="shared" si="77"/>
        <v>0.96147248034310173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396" t="s">
        <v>62</v>
      </c>
      <c r="B535" s="3"/>
      <c r="C535" s="336" t="s">
        <v>490</v>
      </c>
      <c r="T535" s="6"/>
      <c r="U535" s="6"/>
      <c r="V535" s="271" t="s">
        <v>62</v>
      </c>
      <c r="W535" s="163" t="s">
        <v>155</v>
      </c>
      <c r="X535" s="157"/>
      <c r="Y535" s="353" t="e">
        <f>Z535/Z493</f>
        <v>#REF!</v>
      </c>
      <c r="Z535" s="158">
        <f t="shared" si="83"/>
        <v>0</v>
      </c>
      <c r="AA535" s="157"/>
      <c r="AB535" s="164"/>
      <c r="AC535" s="158"/>
      <c r="AD535" s="165"/>
      <c r="AE535" s="164"/>
      <c r="AF535" s="158">
        <v>4992.6399999999994</v>
      </c>
      <c r="AG535" s="159"/>
      <c r="AH535" s="160">
        <f t="shared" si="81"/>
        <v>4992.6399999999994</v>
      </c>
      <c r="AI535" s="161">
        <f t="shared" si="84"/>
        <v>0</v>
      </c>
      <c r="AJ535" s="165"/>
      <c r="AK535" s="164"/>
      <c r="AL535" s="158">
        <v>1168.8300000000004</v>
      </c>
      <c r="AM535" s="162"/>
      <c r="AN535" s="160">
        <f t="shared" si="82"/>
        <v>3823.809999999999</v>
      </c>
      <c r="AO535" s="349">
        <f t="shared" si="77"/>
        <v>3.2714851603740476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396" t="s">
        <v>19</v>
      </c>
      <c r="B536" s="3"/>
      <c r="C536" s="336" t="s">
        <v>490</v>
      </c>
      <c r="T536" s="6"/>
      <c r="U536" s="6"/>
      <c r="V536" s="271" t="s">
        <v>417</v>
      </c>
      <c r="W536" s="163"/>
      <c r="X536" s="157"/>
      <c r="Y536" s="164"/>
      <c r="Z536" s="158">
        <f>IFERROR(SUMIF($C:$C,$V536,F:F),0)</f>
        <v>0</v>
      </c>
      <c r="AA536" s="157"/>
      <c r="AB536" s="157"/>
      <c r="AC536" s="158"/>
      <c r="AD536" s="165"/>
      <c r="AE536" s="164"/>
      <c r="AF536" s="158">
        <f>IFERROR(SUMIF($C:$C,$V536,L:L),0)</f>
        <v>3075.0000000000009</v>
      </c>
      <c r="AG536" s="159"/>
      <c r="AH536" s="160">
        <f t="shared" si="81"/>
        <v>3075.0000000000009</v>
      </c>
      <c r="AI536" s="161">
        <f t="shared" si="84"/>
        <v>0</v>
      </c>
      <c r="AJ536" s="165"/>
      <c r="AK536" s="164"/>
      <c r="AL536" s="158">
        <f>IFERROR(SUMIF($C:$C,$V536,R:R),0)</f>
        <v>0</v>
      </c>
      <c r="AM536" s="162"/>
      <c r="AN536" s="160">
        <f t="shared" si="82"/>
        <v>3075.0000000000009</v>
      </c>
      <c r="AO536" s="349">
        <f t="shared" si="77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396" t="s">
        <v>19</v>
      </c>
      <c r="B537" s="3"/>
      <c r="C537" s="336" t="s">
        <v>490</v>
      </c>
      <c r="T537" s="6"/>
      <c r="U537" s="6"/>
      <c r="V537" s="271" t="s">
        <v>19</v>
      </c>
      <c r="W537" s="163"/>
      <c r="X537" s="157"/>
      <c r="Y537" s="164"/>
      <c r="Z537" s="158">
        <f>IFERROR(SUMIF($C:$C,$V537,F:F),0)</f>
        <v>0</v>
      </c>
      <c r="AA537" s="157"/>
      <c r="AB537" s="157"/>
      <c r="AC537" s="158"/>
      <c r="AD537" s="165"/>
      <c r="AE537" s="164"/>
      <c r="AF537" s="158">
        <f>IFERROR(SUMIF($C:$C,$V537,L:L),0)</f>
        <v>0</v>
      </c>
      <c r="AG537" s="159"/>
      <c r="AH537" s="160">
        <f t="shared" si="81"/>
        <v>0</v>
      </c>
      <c r="AI537" s="161">
        <f t="shared" si="84"/>
        <v>0</v>
      </c>
      <c r="AJ537" s="165"/>
      <c r="AK537" s="164"/>
      <c r="AL537" s="158">
        <f>IFERROR(SUMIF($C:$C,$V537,R:R),0)</f>
        <v>0</v>
      </c>
      <c r="AM537" s="162"/>
      <c r="AN537" s="160">
        <f t="shared" si="82"/>
        <v>0</v>
      </c>
      <c r="AO537" s="349">
        <f t="shared" si="77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396" t="s">
        <v>19</v>
      </c>
      <c r="B538" s="3"/>
      <c r="C538" s="336" t="s">
        <v>490</v>
      </c>
      <c r="T538" s="6"/>
      <c r="U538" s="6"/>
      <c r="V538" s="271" t="s">
        <v>19</v>
      </c>
      <c r="W538" s="163"/>
      <c r="X538" s="157"/>
      <c r="Y538" s="164"/>
      <c r="Z538" s="158">
        <f>IFERROR(SUMIF($C:$C,$V538,F:F),0)</f>
        <v>0</v>
      </c>
      <c r="AA538" s="157"/>
      <c r="AB538" s="157"/>
      <c r="AC538" s="158"/>
      <c r="AD538" s="165"/>
      <c r="AE538" s="164"/>
      <c r="AF538" s="158">
        <f>IFERROR(SUMIF($C:$C,$V538,L:L),0)</f>
        <v>0</v>
      </c>
      <c r="AG538" s="159"/>
      <c r="AH538" s="160">
        <f t="shared" si="81"/>
        <v>0</v>
      </c>
      <c r="AI538" s="161">
        <f t="shared" si="84"/>
        <v>0</v>
      </c>
      <c r="AJ538" s="165"/>
      <c r="AK538" s="164"/>
      <c r="AL538" s="158">
        <f>IFERROR(SUMIF($C:$C,$V538,R:R),0)</f>
        <v>0</v>
      </c>
      <c r="AM538" s="162"/>
      <c r="AN538" s="160">
        <f t="shared" si="82"/>
        <v>0</v>
      </c>
      <c r="AO538" s="349">
        <f t="shared" si="77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396" t="s">
        <v>63</v>
      </c>
      <c r="B539" s="3"/>
      <c r="C539" s="336" t="s">
        <v>490</v>
      </c>
      <c r="T539" s="6"/>
      <c r="U539" s="6"/>
      <c r="V539" s="351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/>
      <c r="AB539" s="170"/>
      <c r="AC539" s="172"/>
      <c r="AD539" s="173">
        <f>AF539/AF494</f>
        <v>0.19702518431229826</v>
      </c>
      <c r="AE539" s="170"/>
      <c r="AF539" s="172">
        <f>+SUM(AF521:AF538)</f>
        <v>116342.93000000001</v>
      </c>
      <c r="AG539" s="179"/>
      <c r="AH539" s="356">
        <f>+SUM(AH521:AH538)</f>
        <v>116342.93000000001</v>
      </c>
      <c r="AI539" s="171" t="e">
        <f>AH539/Z539</f>
        <v>#DIV/0!</v>
      </c>
      <c r="AJ539" s="173">
        <f>AL539/AL494</f>
        <v>0.14910526523694642</v>
      </c>
      <c r="AK539" s="170"/>
      <c r="AL539" s="172">
        <f>+SUM(AL521:AL538)</f>
        <v>126600.90000000001</v>
      </c>
      <c r="AM539" s="180"/>
      <c r="AN539" s="175">
        <f t="shared" si="82"/>
        <v>-10257.970000000001</v>
      </c>
      <c r="AO539" s="357">
        <f t="shared" si="77"/>
        <v>-8.1026043258776201E-2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396" t="s">
        <v>156</v>
      </c>
      <c r="B540" s="3"/>
      <c r="C540" s="336" t="s">
        <v>490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/>
      <c r="AC540" s="158"/>
      <c r="AD540" s="165"/>
      <c r="AE540" s="164"/>
      <c r="AF540" s="158">
        <v>71050</v>
      </c>
      <c r="AG540" s="159"/>
      <c r="AH540" s="160">
        <f t="shared" ref="AH540:AH548" si="86">AF540-Z540</f>
        <v>71050</v>
      </c>
      <c r="AI540" s="161">
        <f t="shared" ref="AI540:AI548" si="87">IF(Z540=0,0,AH540/Z540)</f>
        <v>0</v>
      </c>
      <c r="AJ540" s="165"/>
      <c r="AK540" s="164"/>
      <c r="AL540" s="158">
        <v>112450</v>
      </c>
      <c r="AM540" s="162"/>
      <c r="AN540" s="160">
        <f t="shared" si="82"/>
        <v>-41400</v>
      </c>
      <c r="AO540" s="349">
        <f t="shared" si="77"/>
        <v>-0.36816362827923521</v>
      </c>
      <c r="AP540" s="6"/>
      <c r="AQ540" s="392">
        <v>71050</v>
      </c>
      <c r="AR540" s="6" t="s">
        <v>508</v>
      </c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396" t="s">
        <v>158</v>
      </c>
      <c r="B541" s="3"/>
      <c r="C541" s="336" t="s">
        <v>490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/>
      <c r="AC541" s="158"/>
      <c r="AD541" s="165"/>
      <c r="AE541" s="164"/>
      <c r="AF541" s="158">
        <v>7053.8899999999976</v>
      </c>
      <c r="AG541" s="159"/>
      <c r="AH541" s="160">
        <f t="shared" si="86"/>
        <v>7053.8899999999976</v>
      </c>
      <c r="AI541" s="161">
        <f t="shared" si="87"/>
        <v>0</v>
      </c>
      <c r="AJ541" s="165"/>
      <c r="AK541" s="164"/>
      <c r="AL541" s="158">
        <v>32158</v>
      </c>
      <c r="AM541" s="162"/>
      <c r="AN541" s="160">
        <f t="shared" si="82"/>
        <v>-25104.11</v>
      </c>
      <c r="AO541" s="349">
        <f t="shared" si="77"/>
        <v>-0.78064898314571807</v>
      </c>
      <c r="AP541" s="6"/>
      <c r="AQ541" s="392">
        <v>7054</v>
      </c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396" t="s">
        <v>160</v>
      </c>
      <c r="B542" s="3"/>
      <c r="C542" s="336" t="s">
        <v>490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/>
      <c r="AC542" s="146"/>
      <c r="AD542" s="168"/>
      <c r="AE542" s="167"/>
      <c r="AF542" s="146">
        <v>14727.61</v>
      </c>
      <c r="AG542" s="147"/>
      <c r="AH542" s="148">
        <f t="shared" si="86"/>
        <v>14727.61</v>
      </c>
      <c r="AI542" s="169">
        <f t="shared" si="87"/>
        <v>0</v>
      </c>
      <c r="AJ542" s="168"/>
      <c r="AK542" s="167"/>
      <c r="AL542" s="146">
        <v>10000</v>
      </c>
      <c r="AM542" s="150"/>
      <c r="AN542" s="148">
        <f t="shared" si="82"/>
        <v>4727.6100000000006</v>
      </c>
      <c r="AO542" s="343">
        <f t="shared" si="77"/>
        <v>0.47276100000000004</v>
      </c>
      <c r="AP542" s="6"/>
      <c r="AQ542" s="392">
        <v>14728</v>
      </c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396" t="s">
        <v>162</v>
      </c>
      <c r="B543" s="3"/>
      <c r="C543" s="336" t="s">
        <v>490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/>
      <c r="AC543" s="158"/>
      <c r="AD543" s="165"/>
      <c r="AE543" s="164"/>
      <c r="AF543" s="158">
        <v>0</v>
      </c>
      <c r="AG543" s="159"/>
      <c r="AH543" s="160">
        <f t="shared" si="86"/>
        <v>0</v>
      </c>
      <c r="AI543" s="161">
        <f t="shared" si="87"/>
        <v>0</v>
      </c>
      <c r="AJ543" s="165"/>
      <c r="AK543" s="164"/>
      <c r="AL543" s="158">
        <v>0</v>
      </c>
      <c r="AM543" s="162"/>
      <c r="AN543" s="160">
        <f t="shared" si="82"/>
        <v>0</v>
      </c>
      <c r="AO543" s="349">
        <f t="shared" si="77"/>
        <v>0</v>
      </c>
      <c r="AP543" s="6"/>
      <c r="AQ543" s="392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396" t="s">
        <v>163</v>
      </c>
      <c r="B544" s="3"/>
      <c r="C544" s="336" t="s">
        <v>490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/>
      <c r="AC544" s="146"/>
      <c r="AD544" s="168"/>
      <c r="AE544" s="167"/>
      <c r="AF544" s="146">
        <v>7841.3099999999986</v>
      </c>
      <c r="AG544" s="147"/>
      <c r="AH544" s="148">
        <f t="shared" si="86"/>
        <v>7841.3099999999986</v>
      </c>
      <c r="AI544" s="169">
        <f t="shared" si="87"/>
        <v>0</v>
      </c>
      <c r="AJ544" s="168"/>
      <c r="AK544" s="167"/>
      <c r="AL544" s="146">
        <v>13073.610000000004</v>
      </c>
      <c r="AM544" s="150"/>
      <c r="AN544" s="148">
        <f t="shared" si="82"/>
        <v>-5232.3000000000056</v>
      </c>
      <c r="AO544" s="343">
        <f t="shared" si="77"/>
        <v>-0.40021845534630479</v>
      </c>
      <c r="AP544" s="6"/>
      <c r="AQ544" s="392">
        <v>7841</v>
      </c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396" t="s">
        <v>165</v>
      </c>
      <c r="B545" s="3"/>
      <c r="C545" s="336" t="s">
        <v>490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/>
      <c r="AC545" s="158"/>
      <c r="AD545" s="165"/>
      <c r="AE545" s="164"/>
      <c r="AF545" s="158">
        <v>11100</v>
      </c>
      <c r="AG545" s="159"/>
      <c r="AH545" s="160">
        <f t="shared" si="86"/>
        <v>11100</v>
      </c>
      <c r="AI545" s="161">
        <f t="shared" si="87"/>
        <v>0</v>
      </c>
      <c r="AJ545" s="165"/>
      <c r="AK545" s="164"/>
      <c r="AL545" s="158">
        <v>9104.9099999999962</v>
      </c>
      <c r="AM545" s="162"/>
      <c r="AN545" s="160">
        <f t="shared" si="82"/>
        <v>1995.0900000000038</v>
      </c>
      <c r="AO545" s="349">
        <f t="shared" si="77"/>
        <v>0.21912242954625633</v>
      </c>
      <c r="AP545" s="6"/>
      <c r="AQ545" s="392">
        <v>11100</v>
      </c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396" t="s">
        <v>167</v>
      </c>
      <c r="B546" s="3"/>
      <c r="C546" s="336" t="s">
        <v>490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/>
      <c r="AC546" s="158"/>
      <c r="AD546" s="165"/>
      <c r="AE546" s="164"/>
      <c r="AF546" s="158">
        <v>5602.85</v>
      </c>
      <c r="AG546" s="159"/>
      <c r="AH546" s="160">
        <f t="shared" si="86"/>
        <v>5602.85</v>
      </c>
      <c r="AI546" s="161">
        <f t="shared" si="87"/>
        <v>0</v>
      </c>
      <c r="AJ546" s="165"/>
      <c r="AK546" s="164"/>
      <c r="AL546" s="158">
        <v>4434.3500000000004</v>
      </c>
      <c r="AM546" s="162"/>
      <c r="AN546" s="160">
        <f t="shared" si="82"/>
        <v>1168.5</v>
      </c>
      <c r="AO546" s="349">
        <f t="shared" si="77"/>
        <v>0.26351099935729022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396" t="s">
        <v>169</v>
      </c>
      <c r="B547" s="3"/>
      <c r="C547" s="336" t="s">
        <v>490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/>
      <c r="AC547" s="146"/>
      <c r="AD547" s="168"/>
      <c r="AE547" s="167"/>
      <c r="AF547" s="146">
        <v>3340.13</v>
      </c>
      <c r="AG547" s="147"/>
      <c r="AH547" s="148">
        <f t="shared" si="86"/>
        <v>3340.13</v>
      </c>
      <c r="AI547" s="169">
        <f t="shared" si="87"/>
        <v>0</v>
      </c>
      <c r="AJ547" s="168"/>
      <c r="AK547" s="167"/>
      <c r="AL547" s="146">
        <v>5958.01</v>
      </c>
      <c r="AM547" s="150"/>
      <c r="AN547" s="148">
        <f t="shared" si="82"/>
        <v>-2617.88</v>
      </c>
      <c r="AO547" s="343">
        <f t="shared" si="77"/>
        <v>-0.43938831925424765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396" t="s">
        <v>171</v>
      </c>
      <c r="B548" s="3"/>
      <c r="C548" s="336" t="s">
        <v>490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/>
      <c r="AC548" s="158"/>
      <c r="AD548" s="165"/>
      <c r="AE548" s="164"/>
      <c r="AF548" s="158">
        <v>2773.24</v>
      </c>
      <c r="AG548" s="159"/>
      <c r="AH548" s="160">
        <f t="shared" si="86"/>
        <v>2773.24</v>
      </c>
      <c r="AI548" s="192">
        <f t="shared" si="87"/>
        <v>0</v>
      </c>
      <c r="AJ548" s="165"/>
      <c r="AK548" s="164"/>
      <c r="AL548" s="158">
        <v>166.44999999999982</v>
      </c>
      <c r="AM548" s="162"/>
      <c r="AN548" s="160">
        <f t="shared" si="82"/>
        <v>2606.79</v>
      </c>
      <c r="AO548" s="349">
        <f t="shared" si="77"/>
        <v>15.661099429258053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396" t="s">
        <v>173</v>
      </c>
      <c r="B549" s="3"/>
      <c r="C549" s="336" t="s">
        <v>490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82"/>
        <v>0</v>
      </c>
      <c r="AO549" s="349">
        <f t="shared" si="77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396" t="s">
        <v>19</v>
      </c>
      <c r="B550" s="3"/>
      <c r="C550" s="336" t="s">
        <v>490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271" t="s">
        <v>19</v>
      </c>
      <c r="W550" s="163"/>
      <c r="X550" s="157"/>
      <c r="Y550" s="164"/>
      <c r="Z550" s="158">
        <f>IFERROR(SUMIF($C:$C,$V550,F:F),0)</f>
        <v>0</v>
      </c>
      <c r="AA550" s="157"/>
      <c r="AB550" s="157"/>
      <c r="AC550" s="158"/>
      <c r="AD550" s="165"/>
      <c r="AE550" s="164"/>
      <c r="AF550" s="158">
        <f>IFERROR(SUMIF($C:$C,$V550,L:L),0)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v>0</v>
      </c>
      <c r="AM550" s="162"/>
      <c r="AN550" s="160">
        <f t="shared" si="82"/>
        <v>0</v>
      </c>
      <c r="AO550" s="349">
        <f t="shared" si="77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396" t="s">
        <v>19</v>
      </c>
      <c r="B551" s="3"/>
      <c r="C551" s="336" t="s">
        <v>490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271" t="s">
        <v>19</v>
      </c>
      <c r="W551" s="163"/>
      <c r="X551" s="157"/>
      <c r="Y551" s="164"/>
      <c r="Z551" s="158">
        <f>IFERROR(SUMIF($C:$C,$V551,F:F),0)</f>
        <v>0</v>
      </c>
      <c r="AA551" s="157"/>
      <c r="AB551" s="157"/>
      <c r="AC551" s="158"/>
      <c r="AD551" s="165"/>
      <c r="AE551" s="164"/>
      <c r="AF551" s="158">
        <f>IFERROR(SUMIF($C:$C,$V551,L:L),0)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v>0</v>
      </c>
      <c r="AM551" s="162"/>
      <c r="AN551" s="160">
        <f t="shared" si="82"/>
        <v>0</v>
      </c>
      <c r="AO551" s="349">
        <f t="shared" si="77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396" t="s">
        <v>19</v>
      </c>
      <c r="B552" s="3"/>
      <c r="C552" s="336" t="s">
        <v>490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IFERROR(SUMIF($C:$C,$V552,F:F),0)</f>
        <v>0</v>
      </c>
      <c r="AA552" s="157"/>
      <c r="AB552" s="157"/>
      <c r="AC552" s="158"/>
      <c r="AD552" s="165"/>
      <c r="AE552" s="164"/>
      <c r="AF552" s="158">
        <f>IFERROR(SUMIF($C:$C,$V552,L:L),0)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v>0</v>
      </c>
      <c r="AM552" s="162"/>
      <c r="AN552" s="160">
        <f t="shared" si="82"/>
        <v>0</v>
      </c>
      <c r="AO552" s="349">
        <f t="shared" si="77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396" t="s">
        <v>175</v>
      </c>
      <c r="B553" s="3"/>
      <c r="C553" s="336" t="s">
        <v>490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1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/>
      <c r="AB553" s="170"/>
      <c r="AC553" s="172"/>
      <c r="AD553" s="173">
        <f>AF553/AF494</f>
        <v>0.20912700837340895</v>
      </c>
      <c r="AE553" s="170"/>
      <c r="AF553" s="172">
        <f>SUM(AF540:AF552)</f>
        <v>123489.03000000001</v>
      </c>
      <c r="AG553" s="179"/>
      <c r="AH553" s="356">
        <f>SUM(AH540:AH552)</f>
        <v>123489.03000000001</v>
      </c>
      <c r="AI553" s="171">
        <f>IF(Z553=0,0,AH553/Z553)</f>
        <v>0</v>
      </c>
      <c r="AJ553" s="173">
        <f>AL553/AL494</f>
        <v>0.22064752399511581</v>
      </c>
      <c r="AK553" s="170"/>
      <c r="AL553" s="172">
        <f>SUM(AL540:AL552)</f>
        <v>187345.33000000005</v>
      </c>
      <c r="AM553" s="180"/>
      <c r="AN553" s="175">
        <f t="shared" si="82"/>
        <v>-63856.300000000032</v>
      </c>
      <c r="AO553" s="357">
        <f t="shared" si="77"/>
        <v>-0.34084810120433756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396" t="s">
        <v>492</v>
      </c>
      <c r="B554" s="3"/>
      <c r="C554" s="336" t="s">
        <v>490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88">AF554-Z554</f>
        <v>0</v>
      </c>
      <c r="AI554" s="161"/>
      <c r="AJ554" s="165"/>
      <c r="AK554" s="157"/>
      <c r="AL554" s="158"/>
      <c r="AM554" s="194"/>
      <c r="AN554" s="160"/>
      <c r="AO554" s="359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396" t="s">
        <v>64</v>
      </c>
      <c r="B555" s="3"/>
      <c r="C555" s="336" t="s">
        <v>490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1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/>
      <c r="AB555" s="170"/>
      <c r="AC555" s="172"/>
      <c r="AD555" s="173">
        <f>AF555/AF494</f>
        <v>1.051754032055932</v>
      </c>
      <c r="AE555" s="170"/>
      <c r="AF555" s="172">
        <f>AF506+AF520+AF539+AF553</f>
        <v>621058.4</v>
      </c>
      <c r="AG555" s="179"/>
      <c r="AH555" s="356">
        <f t="shared" si="88"/>
        <v>621058.4</v>
      </c>
      <c r="AI555" s="171" t="e">
        <f>AH555/Z555</f>
        <v>#DIV/0!</v>
      </c>
      <c r="AJ555" s="173">
        <f>AL555/AL494</f>
        <v>0.81053713765292212</v>
      </c>
      <c r="AK555" s="170"/>
      <c r="AL555" s="172">
        <f>AL506+AL520+AL539+AL553</f>
        <v>688203.2699999999</v>
      </c>
      <c r="AM555" s="180"/>
      <c r="AN555" s="175">
        <f t="shared" ref="AN555:AN568" si="89">AF555-AL555</f>
        <v>-67144.869999999879</v>
      </c>
      <c r="AO555" s="346">
        <f t="shared" ref="AO555:AO568" si="90">IF(AL555=0,0,AN555/AL555)</f>
        <v>-9.7565462018220125E-2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396" t="s">
        <v>176</v>
      </c>
      <c r="B556" s="3"/>
      <c r="C556" s="336" t="s">
        <v>490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/>
      <c r="AC556" s="183"/>
      <c r="AD556" s="197"/>
      <c r="AE556" s="196"/>
      <c r="AF556" s="183">
        <v>9504.7100000000028</v>
      </c>
      <c r="AG556" s="198"/>
      <c r="AH556" s="160">
        <f t="shared" si="88"/>
        <v>9504.7100000000028</v>
      </c>
      <c r="AI556" s="192" t="e">
        <f>IF(AH556=0,0,AH556/Z556)</f>
        <v>#DIV/0!</v>
      </c>
      <c r="AJ556" s="197"/>
      <c r="AK556" s="196"/>
      <c r="AL556" s="183">
        <v>38328.320000000036</v>
      </c>
      <c r="AM556" s="199"/>
      <c r="AN556" s="160">
        <f t="shared" si="89"/>
        <v>-28823.610000000033</v>
      </c>
      <c r="AO556" s="349">
        <f t="shared" si="90"/>
        <v>-0.75201861182540763</v>
      </c>
      <c r="AP556" s="6" t="s">
        <v>509</v>
      </c>
      <c r="AQ556" s="387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396" t="s">
        <v>66</v>
      </c>
      <c r="B557" s="3"/>
      <c r="C557" s="336" t="s">
        <v>490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 t="shared" ref="Z557:Z563" si="91">+SUMIF($C:$C,$V557,F:F)</f>
        <v>0</v>
      </c>
      <c r="AA557" s="190"/>
      <c r="AB557" s="160"/>
      <c r="AC557" s="158"/>
      <c r="AD557" s="202"/>
      <c r="AE557" s="360"/>
      <c r="AF557" s="158">
        <f t="shared" ref="AF557:AF563" si="92">+SUMIF($C:$C,$V557,L:L)</f>
        <v>0</v>
      </c>
      <c r="AG557" s="201"/>
      <c r="AH557" s="160">
        <f t="shared" si="88"/>
        <v>0</v>
      </c>
      <c r="AI557" s="177">
        <f>IF(Z557=0,0,AH557/Z557)</f>
        <v>0</v>
      </c>
      <c r="AJ557" s="202"/>
      <c r="AK557" s="360"/>
      <c r="AL557" s="158">
        <v>0</v>
      </c>
      <c r="AM557" s="202"/>
      <c r="AN557" s="160">
        <f t="shared" si="89"/>
        <v>0</v>
      </c>
      <c r="AO557" s="349">
        <f t="shared" si="90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396" t="s">
        <v>493</v>
      </c>
      <c r="B558" s="3"/>
      <c r="C558" s="336" t="s">
        <v>490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331</v>
      </c>
      <c r="W558" s="157"/>
      <c r="X558" s="157"/>
      <c r="Y558" s="157"/>
      <c r="Z558" s="158">
        <f t="shared" si="91"/>
        <v>0</v>
      </c>
      <c r="AA558" s="190"/>
      <c r="AB558" s="191"/>
      <c r="AC558" s="158"/>
      <c r="AD558" s="200"/>
      <c r="AF558" s="158">
        <f t="shared" si="92"/>
        <v>2794.3899999999994</v>
      </c>
      <c r="AG558" s="201"/>
      <c r="AH558" s="160">
        <f t="shared" si="88"/>
        <v>2794.3899999999994</v>
      </c>
      <c r="AI558" s="177" t="e">
        <f t="shared" ref="AI558:AI567" si="93">IF(AH558=0,0,AH558/Z558)</f>
        <v>#DIV/0!</v>
      </c>
      <c r="AJ558" s="200"/>
      <c r="AL558" s="158">
        <v>25095</v>
      </c>
      <c r="AM558" s="202"/>
      <c r="AN558" s="160">
        <f t="shared" si="89"/>
        <v>-22300.61</v>
      </c>
      <c r="AO558" s="349">
        <f t="shared" si="90"/>
        <v>-0.88864753935046825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396" t="s">
        <v>186</v>
      </c>
      <c r="B559" s="3"/>
      <c r="C559" s="336" t="s">
        <v>490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186</v>
      </c>
      <c r="W559" s="157"/>
      <c r="X559" s="157"/>
      <c r="Y559" s="157"/>
      <c r="Z559" s="158">
        <f t="shared" si="91"/>
        <v>0</v>
      </c>
      <c r="AA559" s="190"/>
      <c r="AB559" s="191"/>
      <c r="AC559" s="158"/>
      <c r="AD559" s="200"/>
      <c r="AE559" s="191"/>
      <c r="AF559" s="158">
        <f t="shared" si="92"/>
        <v>0</v>
      </c>
      <c r="AG559" s="201"/>
      <c r="AH559" s="160">
        <f t="shared" si="88"/>
        <v>0</v>
      </c>
      <c r="AI559" s="177">
        <f t="shared" si="93"/>
        <v>0</v>
      </c>
      <c r="AJ559" s="200"/>
      <c r="AK559" s="191"/>
      <c r="AL559" s="158">
        <v>0</v>
      </c>
      <c r="AM559" s="202"/>
      <c r="AN559" s="160">
        <f t="shared" si="89"/>
        <v>0</v>
      </c>
      <c r="AO559" s="349">
        <f t="shared" si="90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396" t="s">
        <v>65</v>
      </c>
      <c r="B560" s="3"/>
      <c r="C560" s="336" t="s">
        <v>490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 t="shared" si="91"/>
        <v>0</v>
      </c>
      <c r="AA560" s="190"/>
      <c r="AB560" s="191"/>
      <c r="AC560" s="158"/>
      <c r="AD560" s="200"/>
      <c r="AE560" s="191"/>
      <c r="AF560" s="158">
        <f t="shared" si="92"/>
        <v>0</v>
      </c>
      <c r="AG560" s="201"/>
      <c r="AH560" s="160">
        <f t="shared" si="88"/>
        <v>0</v>
      </c>
      <c r="AI560" s="177">
        <f t="shared" si="93"/>
        <v>0</v>
      </c>
      <c r="AJ560" s="200"/>
      <c r="AK560" s="191"/>
      <c r="AL560" s="158">
        <v>0</v>
      </c>
      <c r="AM560" s="202"/>
      <c r="AN560" s="160">
        <f t="shared" si="89"/>
        <v>0</v>
      </c>
      <c r="AO560" s="349">
        <f t="shared" si="90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396" t="s">
        <v>266</v>
      </c>
      <c r="B561" s="3"/>
      <c r="C561" s="336" t="s">
        <v>490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266</v>
      </c>
      <c r="W561" s="157"/>
      <c r="X561" s="157"/>
      <c r="Y561" s="157"/>
      <c r="Z561" s="158">
        <f t="shared" si="91"/>
        <v>0</v>
      </c>
      <c r="AA561" s="190"/>
      <c r="AB561" s="191"/>
      <c r="AC561" s="158"/>
      <c r="AD561" s="200"/>
      <c r="AE561" s="191"/>
      <c r="AF561" s="158">
        <f t="shared" si="92"/>
        <v>0</v>
      </c>
      <c r="AG561" s="201"/>
      <c r="AH561" s="160">
        <f t="shared" si="88"/>
        <v>0</v>
      </c>
      <c r="AI561" s="177">
        <f t="shared" si="93"/>
        <v>0</v>
      </c>
      <c r="AJ561" s="200"/>
      <c r="AK561" s="191"/>
      <c r="AL561" s="158">
        <v>0</v>
      </c>
      <c r="AM561" s="202"/>
      <c r="AN561" s="160">
        <f t="shared" si="89"/>
        <v>0</v>
      </c>
      <c r="AO561" s="349">
        <f t="shared" si="90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396" t="s">
        <v>268</v>
      </c>
      <c r="B562" s="3"/>
      <c r="C562" s="336" t="s">
        <v>490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268</v>
      </c>
      <c r="W562" s="157"/>
      <c r="X562" s="157"/>
      <c r="Y562" s="157"/>
      <c r="Z562" s="158">
        <f t="shared" si="91"/>
        <v>0</v>
      </c>
      <c r="AA562" s="190"/>
      <c r="AB562" s="191"/>
      <c r="AC562" s="158"/>
      <c r="AD562" s="200"/>
      <c r="AE562" s="191"/>
      <c r="AF562" s="158">
        <f t="shared" si="92"/>
        <v>0</v>
      </c>
      <c r="AG562" s="201"/>
      <c r="AH562" s="160">
        <f t="shared" si="88"/>
        <v>0</v>
      </c>
      <c r="AI562" s="177">
        <f t="shared" si="93"/>
        <v>0</v>
      </c>
      <c r="AJ562" s="200"/>
      <c r="AK562" s="191"/>
      <c r="AL562" s="158">
        <v>0</v>
      </c>
      <c r="AM562" s="202"/>
      <c r="AN562" s="160">
        <f t="shared" si="89"/>
        <v>0</v>
      </c>
      <c r="AO562" s="349">
        <f t="shared" si="90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396" t="s">
        <v>77</v>
      </c>
      <c r="B563" s="3"/>
      <c r="C563" s="336" t="s">
        <v>490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 t="shared" si="91"/>
        <v>0</v>
      </c>
      <c r="AA563" s="190"/>
      <c r="AB563" s="191"/>
      <c r="AC563" s="158"/>
      <c r="AD563" s="200"/>
      <c r="AE563" s="191"/>
      <c r="AF563" s="158">
        <f t="shared" si="92"/>
        <v>0</v>
      </c>
      <c r="AG563" s="201"/>
      <c r="AH563" s="160">
        <f t="shared" si="88"/>
        <v>0</v>
      </c>
      <c r="AI563" s="177">
        <f t="shared" si="93"/>
        <v>0</v>
      </c>
      <c r="AJ563" s="200"/>
      <c r="AK563" s="191"/>
      <c r="AL563" s="158">
        <v>0</v>
      </c>
      <c r="AM563" s="202"/>
      <c r="AN563" s="160">
        <f t="shared" si="89"/>
        <v>0</v>
      </c>
      <c r="AO563" s="349">
        <f t="shared" si="90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396" t="s">
        <v>19</v>
      </c>
      <c r="B564" s="3"/>
      <c r="C564" s="336" t="s">
        <v>490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>
        <v>0</v>
      </c>
      <c r="AA564" s="157"/>
      <c r="AB564" s="157"/>
      <c r="AC564" s="158"/>
      <c r="AD564" s="165"/>
      <c r="AE564" s="164"/>
      <c r="AF564" s="158">
        <f>IFERROR(SUMIF($C:$C,$V564,L:L),0)</f>
        <v>0</v>
      </c>
      <c r="AG564" s="159"/>
      <c r="AH564" s="160">
        <f t="shared" si="88"/>
        <v>0</v>
      </c>
      <c r="AI564" s="161">
        <f t="shared" si="93"/>
        <v>0</v>
      </c>
      <c r="AJ564" s="165"/>
      <c r="AK564" s="164"/>
      <c r="AL564" s="158">
        <v>0</v>
      </c>
      <c r="AM564" s="202"/>
      <c r="AN564" s="160">
        <f t="shared" si="89"/>
        <v>0</v>
      </c>
      <c r="AO564" s="349">
        <f t="shared" si="90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396" t="s">
        <v>19</v>
      </c>
      <c r="B565" s="3"/>
      <c r="C565" s="336" t="s">
        <v>490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IFERROR(SUMIF($C:$C,$V565,F:F),0)</f>
        <v>0</v>
      </c>
      <c r="AA565" s="157"/>
      <c r="AB565" s="157"/>
      <c r="AC565" s="158"/>
      <c r="AD565" s="165"/>
      <c r="AE565" s="164"/>
      <c r="AF565" s="158">
        <f>IFERROR(SUMIF($C:$C,$V565,L:L),0)</f>
        <v>0</v>
      </c>
      <c r="AG565" s="159"/>
      <c r="AH565" s="160">
        <f t="shared" si="88"/>
        <v>0</v>
      </c>
      <c r="AI565" s="161">
        <f t="shared" si="93"/>
        <v>0</v>
      </c>
      <c r="AJ565" s="165"/>
      <c r="AK565" s="164"/>
      <c r="AL565" s="158">
        <v>0</v>
      </c>
      <c r="AM565" s="202"/>
      <c r="AN565" s="160">
        <f t="shared" si="89"/>
        <v>0</v>
      </c>
      <c r="AO565" s="349">
        <f t="shared" si="90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396" t="s">
        <v>19</v>
      </c>
      <c r="B566" s="3"/>
      <c r="C566" s="336" t="s">
        <v>490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IFERROR(SUMIF($C:$C,$V566,F:F),0)</f>
        <v>0</v>
      </c>
      <c r="AA566" s="157"/>
      <c r="AB566" s="157"/>
      <c r="AC566" s="158"/>
      <c r="AD566" s="165"/>
      <c r="AE566" s="164"/>
      <c r="AF566" s="158">
        <f>IFERROR(SUMIF($C:$C,$V566,L:L),0)</f>
        <v>0</v>
      </c>
      <c r="AG566" s="159"/>
      <c r="AH566" s="160">
        <f t="shared" si="88"/>
        <v>0</v>
      </c>
      <c r="AI566" s="161">
        <f t="shared" si="93"/>
        <v>0</v>
      </c>
      <c r="AJ566" s="165"/>
      <c r="AK566" s="164"/>
      <c r="AL566" s="158">
        <v>0</v>
      </c>
      <c r="AM566" s="202"/>
      <c r="AN566" s="160">
        <f t="shared" si="89"/>
        <v>0</v>
      </c>
      <c r="AO566" s="349">
        <f t="shared" si="90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396" t="s">
        <v>67</v>
      </c>
      <c r="B567" s="3"/>
      <c r="C567" s="336" t="s">
        <v>490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+SUMIF($C:$C,$V567,F:F)</f>
        <v>0</v>
      </c>
      <c r="AA567" s="190"/>
      <c r="AB567" s="191"/>
      <c r="AC567" s="158"/>
      <c r="AD567" s="361">
        <f>AF567/499</f>
        <v>77.478957915831657</v>
      </c>
      <c r="AE567" s="190">
        <f>(AF567/399)/(J13+J15+J97)</f>
        <v>1.2584057546463563</v>
      </c>
      <c r="AF567" s="158">
        <f>+SUMIF($C:$C,$V567,L:L)</f>
        <v>38662</v>
      </c>
      <c r="AG567" s="201"/>
      <c r="AH567" s="160">
        <f t="shared" si="88"/>
        <v>38662</v>
      </c>
      <c r="AI567" s="177" t="e">
        <f t="shared" si="93"/>
        <v>#DIV/0!</v>
      </c>
      <c r="AJ567" s="361">
        <f>AL567/499</f>
        <v>0</v>
      </c>
      <c r="AK567" s="190">
        <f>(AL567/399)/(P13+P15+P97)</f>
        <v>0</v>
      </c>
      <c r="AL567" s="158">
        <v>0</v>
      </c>
      <c r="AM567" s="202"/>
      <c r="AN567" s="160">
        <f t="shared" si="89"/>
        <v>38662</v>
      </c>
      <c r="AO567" s="349">
        <f t="shared" si="90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396" t="s">
        <v>177</v>
      </c>
      <c r="B568" s="3"/>
      <c r="C568" s="336" t="s">
        <v>490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1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/>
      <c r="AB568" s="189"/>
      <c r="AC568" s="172"/>
      <c r="AD568" s="171">
        <f>AF568/+AF494</f>
        <v>8.6301936183466099E-2</v>
      </c>
      <c r="AE568" s="189"/>
      <c r="AF568" s="172">
        <f>SUM(AF556:AF567)</f>
        <v>50961.100000000006</v>
      </c>
      <c r="AG568" s="179"/>
      <c r="AH568" s="175">
        <f t="shared" si="88"/>
        <v>50961.100000000006</v>
      </c>
      <c r="AI568" s="171" t="e">
        <f>AH568/Z568</f>
        <v>#DIV/0!</v>
      </c>
      <c r="AJ568" s="171">
        <f>AL568/+AL494</f>
        <v>7.4697343785136858E-2</v>
      </c>
      <c r="AK568" s="189"/>
      <c r="AL568" s="172">
        <f>SUM(AL556:AL567)</f>
        <v>63423.320000000036</v>
      </c>
      <c r="AM568" s="203"/>
      <c r="AN568" s="175">
        <f t="shared" si="89"/>
        <v>-12462.22000000003</v>
      </c>
      <c r="AO568" s="357">
        <f t="shared" si="90"/>
        <v>-0.19649270962163481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396" t="s">
        <v>492</v>
      </c>
      <c r="B569" s="3"/>
      <c r="C569" s="336" t="s">
        <v>490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2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3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396" t="s">
        <v>178</v>
      </c>
      <c r="B570" s="3"/>
      <c r="C570" s="336" t="s">
        <v>490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/>
      <c r="AB570" s="240"/>
      <c r="AC570" s="241"/>
      <c r="AD570" s="239" t="s">
        <v>179</v>
      </c>
      <c r="AE570" s="240">
        <f>AF570/AF493</f>
        <v>1.4150528133006729E-3</v>
      </c>
      <c r="AF570" s="241">
        <f>AF494-AF555+AF568</f>
        <v>20400.460000003717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>
        <f>AL570/AL493</f>
        <v>1.2199457082323421E-2</v>
      </c>
      <c r="AL570" s="241">
        <f>AL494-AL555+AL568</f>
        <v>224290.67000001002</v>
      </c>
      <c r="AM570" s="245"/>
      <c r="AN570" s="242">
        <f>AF570-AL570</f>
        <v>-203890.21000000631</v>
      </c>
      <c r="AO570" s="364">
        <f>IF(AL570=0,0,AN570/AL570)</f>
        <v>-0.90904454474186192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396" t="s">
        <v>492</v>
      </c>
      <c r="B571" s="3"/>
      <c r="C571" s="336" t="s">
        <v>490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396" t="s">
        <v>494</v>
      </c>
      <c r="B572" s="3"/>
      <c r="C572" s="336" t="s">
        <v>490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5" t="str">
        <f>C1</f>
        <v>Ste-Marie Auto</v>
      </c>
      <c r="W572" s="365"/>
      <c r="X572" s="365"/>
      <c r="Y572" s="365"/>
      <c r="Z572" s="365"/>
      <c r="AA572" s="365"/>
      <c r="AB572" s="365"/>
      <c r="AC572" s="365"/>
      <c r="AD572" s="365"/>
      <c r="AE572" s="366" t="s">
        <v>180</v>
      </c>
      <c r="AF572" s="365"/>
      <c r="AG572" s="365"/>
      <c r="AH572" s="365"/>
      <c r="AI572" s="365"/>
      <c r="AJ572" s="365"/>
      <c r="AK572" s="366"/>
      <c r="AL572" s="365"/>
      <c r="AM572" s="365"/>
      <c r="AN572" s="365"/>
      <c r="AO572" s="367" t="str">
        <f>$S$1</f>
        <v>Réalisé, Juillet 2026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396" t="s">
        <v>492</v>
      </c>
      <c r="B573" s="3"/>
      <c r="C573" s="336" t="s">
        <v>490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396" t="s">
        <v>492</v>
      </c>
      <c r="B574" s="3"/>
      <c r="C574" s="336" t="s">
        <v>490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396" t="s">
        <v>492</v>
      </c>
      <c r="B575" s="3"/>
      <c r="C575" s="336" t="s">
        <v>490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207</v>
      </c>
      <c r="W575" s="238"/>
      <c r="X575" s="239" t="s">
        <v>179</v>
      </c>
      <c r="Y575" s="240" t="e">
        <f>Z575/Z493</f>
        <v>#REF!</v>
      </c>
      <c r="Z575" s="242" t="e">
        <f>Z576+Z502</f>
        <v>#REF!</v>
      </c>
      <c r="AA575" s="239"/>
      <c r="AB575" s="240"/>
      <c r="AC575" s="241"/>
      <c r="AD575" s="239" t="s">
        <v>179</v>
      </c>
      <c r="AE575" s="240">
        <f>AF575/AF493</f>
        <v>7.4277346759753426E-3</v>
      </c>
      <c r="AF575" s="242">
        <f>AF576+AF502</f>
        <v>107083.7800000037</v>
      </c>
      <c r="AG575" s="243"/>
      <c r="AH575" s="243" t="e">
        <f t="shared" ref="AH575" si="94">AF575-Z575</f>
        <v>#REF!</v>
      </c>
      <c r="AI575" s="244" t="e">
        <f>AH575/Z575</f>
        <v>#REF!</v>
      </c>
      <c r="AJ575" s="239" t="s">
        <v>179</v>
      </c>
      <c r="AK575" s="240">
        <f>IF($AL$493=0,0,AL575/$AL$493)</f>
        <v>1.7353208367564935E-2</v>
      </c>
      <c r="AL575" s="242">
        <f>AL576+AL502</f>
        <v>319043.93000001</v>
      </c>
      <c r="AM575" s="245"/>
      <c r="AN575" s="242">
        <f t="shared" ref="AN575:AN585" si="95">AF575-AL575</f>
        <v>-211960.15000000631</v>
      </c>
      <c r="AO575" s="246">
        <f t="shared" ref="AO575:AO585" si="96">IF(AL575=0,0,AN575/AL575)</f>
        <v>-0.66436039074618869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396" t="s">
        <v>178</v>
      </c>
      <c r="B576" s="3"/>
      <c r="C576" s="336" t="s">
        <v>490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/>
      <c r="AB576" s="240"/>
      <c r="AC576" s="241"/>
      <c r="AD576" s="239" t="s">
        <v>179</v>
      </c>
      <c r="AE576" s="240">
        <f>AF576/AF493</f>
        <v>1.4150528133006729E-3</v>
      </c>
      <c r="AF576" s="241">
        <f>AF570</f>
        <v>20400.460000003717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IF($AL$493=0,0,AL576/$AL$493)</f>
        <v>1.2199457082323421E-2</v>
      </c>
      <c r="AL576" s="241">
        <f>AL570</f>
        <v>224290.67000001002</v>
      </c>
      <c r="AM576" s="368"/>
      <c r="AN576" s="369">
        <f t="shared" si="95"/>
        <v>-203890.21000000631</v>
      </c>
      <c r="AO576" s="370">
        <f t="shared" si="96"/>
        <v>-0.90904454474186192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396" t="s">
        <v>492</v>
      </c>
      <c r="B577" s="3"/>
      <c r="C577" s="336" t="s">
        <v>490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8"/>
      <c r="U577" s="6"/>
      <c r="V577" s="371"/>
      <c r="W577" s="6"/>
      <c r="X577" s="6"/>
      <c r="Y577" s="6"/>
      <c r="Z577" s="372"/>
      <c r="AA577" s="6"/>
      <c r="AB577" s="6"/>
      <c r="AC577" s="6"/>
      <c r="AD577" s="388"/>
      <c r="AE577" s="6"/>
      <c r="AF577" s="372"/>
      <c r="AG577" s="6"/>
      <c r="AH577" s="6"/>
      <c r="AI577" s="373"/>
      <c r="AJ577" s="6"/>
      <c r="AK577" s="6"/>
      <c r="AL577" s="372"/>
      <c r="AM577" s="212"/>
      <c r="AN577" s="97"/>
      <c r="AO577" s="374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396" t="s">
        <v>181</v>
      </c>
      <c r="B578" s="3"/>
      <c r="C578" s="336" t="s">
        <v>490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/>
      <c r="AC578" s="160"/>
      <c r="AD578" s="389"/>
      <c r="AE578" s="164"/>
      <c r="AF578" s="158">
        <v>10810</v>
      </c>
      <c r="AG578" s="157"/>
      <c r="AH578" s="160">
        <f t="shared" ref="AH578:AH585" si="97">AF578-Z578</f>
        <v>10810</v>
      </c>
      <c r="AI578" s="177">
        <f t="shared" ref="AI578:AI584" si="98">IF(Z578=0,0,AH578/Z578)</f>
        <v>0</v>
      </c>
      <c r="AJ578" s="157"/>
      <c r="AK578" s="164"/>
      <c r="AL578" s="158">
        <v>11547.109999999999</v>
      </c>
      <c r="AM578" s="162"/>
      <c r="AN578" s="160">
        <f t="shared" si="95"/>
        <v>-737.10999999999876</v>
      </c>
      <c r="AO578" s="349">
        <f t="shared" si="96"/>
        <v>-6.3835020191199257E-2</v>
      </c>
      <c r="AP578" s="6"/>
      <c r="AQ578" s="6"/>
      <c r="AR578" s="6" t="s">
        <v>497</v>
      </c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396" t="s">
        <v>182</v>
      </c>
      <c r="B579" s="3"/>
      <c r="C579" s="336" t="s">
        <v>490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/>
      <c r="AC579" s="160"/>
      <c r="AD579" s="390"/>
      <c r="AE579" s="7"/>
      <c r="AF579" s="158">
        <v>0</v>
      </c>
      <c r="AG579" s="6"/>
      <c r="AH579" s="160">
        <f t="shared" si="97"/>
        <v>0</v>
      </c>
      <c r="AI579" s="177">
        <f t="shared" si="98"/>
        <v>0</v>
      </c>
      <c r="AJ579" s="6"/>
      <c r="AK579" s="7"/>
      <c r="AL579" s="158">
        <v>0</v>
      </c>
      <c r="AM579" s="212"/>
      <c r="AN579" s="160">
        <f t="shared" si="95"/>
        <v>0</v>
      </c>
      <c r="AO579" s="349">
        <f t="shared" si="96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396" t="s">
        <v>183</v>
      </c>
      <c r="B580" s="3"/>
      <c r="C580" s="336" t="s">
        <v>490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/>
      <c r="AC580" s="160"/>
      <c r="AD580" s="390"/>
      <c r="AE580" s="7"/>
      <c r="AF580" s="158">
        <v>7995</v>
      </c>
      <c r="AG580" s="6"/>
      <c r="AH580" s="160">
        <f t="shared" si="97"/>
        <v>7995</v>
      </c>
      <c r="AI580" s="177">
        <f t="shared" si="98"/>
        <v>0</v>
      </c>
      <c r="AJ580" s="6"/>
      <c r="AK580" s="7"/>
      <c r="AL580" s="158">
        <v>0</v>
      </c>
      <c r="AM580" s="212"/>
      <c r="AN580" s="160">
        <f t="shared" si="95"/>
        <v>7995</v>
      </c>
      <c r="AO580" s="349">
        <f t="shared" si="96"/>
        <v>0</v>
      </c>
      <c r="AP580" s="6"/>
      <c r="AQ580" s="6">
        <v>7995</v>
      </c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396" t="s">
        <v>184</v>
      </c>
      <c r="B581" s="3"/>
      <c r="C581" s="336" t="s">
        <v>490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/>
      <c r="AC581" s="160"/>
      <c r="AD581" s="390"/>
      <c r="AE581" s="7"/>
      <c r="AF581" s="158">
        <v>0</v>
      </c>
      <c r="AG581" s="6"/>
      <c r="AH581" s="160">
        <f t="shared" si="97"/>
        <v>0</v>
      </c>
      <c r="AI581" s="177">
        <f t="shared" si="98"/>
        <v>0</v>
      </c>
      <c r="AJ581" s="6"/>
      <c r="AK581" s="7"/>
      <c r="AL581" s="158">
        <v>0</v>
      </c>
      <c r="AM581" s="212"/>
      <c r="AN581" s="160">
        <f t="shared" si="95"/>
        <v>0</v>
      </c>
      <c r="AO581" s="349">
        <f t="shared" si="96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396" t="s">
        <v>19</v>
      </c>
      <c r="B582" s="3"/>
      <c r="C582" s="336" t="s">
        <v>490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60"/>
      <c r="AD582" s="389"/>
      <c r="AE582" s="164"/>
      <c r="AF582" s="158">
        <f>IFERROR(SUMIF($C:$C,$V582,L:L),0)</f>
        <v>0</v>
      </c>
      <c r="AG582" s="159"/>
      <c r="AH582" s="160">
        <f t="shared" si="97"/>
        <v>0</v>
      </c>
      <c r="AI582" s="161">
        <f t="shared" si="98"/>
        <v>0</v>
      </c>
      <c r="AJ582" s="165"/>
      <c r="AK582" s="164"/>
      <c r="AL582" s="158">
        <v>0</v>
      </c>
      <c r="AM582" s="212"/>
      <c r="AN582" s="160">
        <f t="shared" si="95"/>
        <v>0</v>
      </c>
      <c r="AO582" s="349">
        <f t="shared" si="96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6" t="s">
        <v>490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206</v>
      </c>
      <c r="W583" s="7"/>
      <c r="X583" s="7"/>
      <c r="Y583" s="7"/>
      <c r="Z583" s="158">
        <v>0</v>
      </c>
      <c r="AA583" s="157"/>
      <c r="AB583" s="157"/>
      <c r="AC583" s="160"/>
      <c r="AD583" s="389"/>
      <c r="AE583" s="164"/>
      <c r="AF583" s="158">
        <v>-50.679999999999382</v>
      </c>
      <c r="AG583" s="159"/>
      <c r="AH583" s="160">
        <f t="shared" si="97"/>
        <v>-50.679999999999382</v>
      </c>
      <c r="AI583" s="161">
        <f t="shared" si="98"/>
        <v>0</v>
      </c>
      <c r="AJ583" s="165"/>
      <c r="AK583" s="164"/>
      <c r="AL583" s="158">
        <v>0</v>
      </c>
      <c r="AM583" s="212"/>
      <c r="AN583" s="160">
        <f t="shared" si="95"/>
        <v>-50.679999999999382</v>
      </c>
      <c r="AO583" s="349">
        <f t="shared" si="96"/>
        <v>0</v>
      </c>
      <c r="AP583" s="6"/>
      <c r="AQ583" s="6">
        <v>-50.68</v>
      </c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396" t="s">
        <v>19</v>
      </c>
      <c r="B584" s="3"/>
      <c r="C584" s="336" t="s">
        <v>490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97"/>
        <v>0</v>
      </c>
      <c r="AI584" s="161">
        <f t="shared" si="98"/>
        <v>0</v>
      </c>
      <c r="AJ584" s="165"/>
      <c r="AK584" s="164"/>
      <c r="AL584" s="158">
        <v>0</v>
      </c>
      <c r="AM584" s="212"/>
      <c r="AN584" s="160">
        <f t="shared" si="95"/>
        <v>0</v>
      </c>
      <c r="AO584" s="349">
        <f t="shared" si="96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396" t="s">
        <v>185</v>
      </c>
      <c r="B585" s="3"/>
      <c r="C585" s="336" t="s">
        <v>490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</f>
        <v>#REF!</v>
      </c>
      <c r="AA585" s="239"/>
      <c r="AB585" s="240"/>
      <c r="AC585" s="241"/>
      <c r="AD585" s="239" t="s">
        <v>179</v>
      </c>
      <c r="AE585" s="240">
        <f>AF585/AF493</f>
        <v>1.14182476183949E-4</v>
      </c>
      <c r="AF585" s="241">
        <f>AF576-AF578-AF579-AF580-AF584-AF583</f>
        <v>1646.1400000037165</v>
      </c>
      <c r="AG585" s="243"/>
      <c r="AH585" s="243" t="e">
        <f t="shared" si="97"/>
        <v>#REF!</v>
      </c>
      <c r="AI585" s="244" t="e">
        <f>AH585/Z585</f>
        <v>#REF!</v>
      </c>
      <c r="AJ585" s="239" t="s">
        <v>179</v>
      </c>
      <c r="AK585" s="240">
        <f>IF($AL$493=0,0,AL585/$AL$493)</f>
        <v>1.1571394966008636E-2</v>
      </c>
      <c r="AL585" s="241">
        <f>AL576-AL578-AL579-AL580-AL584-AL583</f>
        <v>212743.56000001004</v>
      </c>
      <c r="AM585" s="245"/>
      <c r="AN585" s="242">
        <f t="shared" si="95"/>
        <v>-211097.42000000633</v>
      </c>
      <c r="AO585" s="246">
        <f t="shared" si="96"/>
        <v>-0.99226232747067111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396" t="s">
        <v>492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V589" s="6" t="s">
        <v>498</v>
      </c>
      <c r="W589" s="6"/>
      <c r="X589" s="6"/>
      <c r="Y589" s="6"/>
      <c r="Z589" s="97"/>
      <c r="AA589" s="6"/>
      <c r="AB589" s="6"/>
      <c r="AC589" s="97"/>
      <c r="AE589" s="176"/>
      <c r="AF589" s="176">
        <v>1644</v>
      </c>
      <c r="AG589" s="6"/>
      <c r="AH589" s="6"/>
      <c r="AI589" s="6"/>
      <c r="AJ589" s="375"/>
      <c r="AK589" s="376"/>
      <c r="AL589" s="377">
        <v>212748</v>
      </c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97"/>
      <c r="AA590" s="6"/>
      <c r="AB590" s="6"/>
      <c r="AC590" s="97"/>
      <c r="AD590" s="6"/>
      <c r="AE590" s="6"/>
      <c r="AF590" s="176"/>
      <c r="AG590" s="6"/>
      <c r="AH590" s="6"/>
      <c r="AI590" s="6"/>
      <c r="AJ590" s="6"/>
      <c r="AL590" s="377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AE591" s="6"/>
      <c r="AF591" s="378">
        <f>AF589-AF585</f>
        <v>-2.1400000037165228</v>
      </c>
      <c r="AL591" s="378">
        <f>AL589-AL585</f>
        <v>4.4399999899615068</v>
      </c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0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0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0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</sheetData>
  <mergeCells count="48"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  <mergeCell ref="O171:Q171"/>
    <mergeCell ref="R171:S171"/>
    <mergeCell ref="D171:F171"/>
    <mergeCell ref="G171:I171"/>
    <mergeCell ref="J171:L171"/>
    <mergeCell ref="M171:N171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M369:N369"/>
    <mergeCell ref="O369:Q369"/>
    <mergeCell ref="R369:S369"/>
    <mergeCell ref="D434:F434"/>
    <mergeCell ref="G434:I434"/>
    <mergeCell ref="J434:L434"/>
    <mergeCell ref="M434:N434"/>
    <mergeCell ref="O434:Q434"/>
    <mergeCell ref="R434:S434"/>
    <mergeCell ref="D369:F369"/>
    <mergeCell ref="G369:I369"/>
    <mergeCell ref="J369:L369"/>
    <mergeCell ref="AM491:AO491"/>
    <mergeCell ref="X491:Z491"/>
    <mergeCell ref="AA491:AC491"/>
    <mergeCell ref="AD491:AF491"/>
    <mergeCell ref="AG491:AI491"/>
    <mergeCell ref="AJ491:AL491"/>
  </mergeCells>
  <conditionalFormatting sqref="D113 H180:L181 I184:L185">
    <cfRule type="expression" dxfId="675" priority="137" stopIfTrue="1">
      <formula>"esterreur(reference)"</formula>
    </cfRule>
  </conditionalFormatting>
  <conditionalFormatting sqref="D246:D255">
    <cfRule type="expression" dxfId="674" priority="167" stopIfTrue="1">
      <formula>"esterreur(reference)"</formula>
    </cfRule>
  </conditionalFormatting>
  <conditionalFormatting sqref="D487">
    <cfRule type="expression" dxfId="673" priority="139" stopIfTrue="1">
      <formula>"esterreur(reference)"</formula>
    </cfRule>
  </conditionalFormatting>
  <conditionalFormatting sqref="D186:E192">
    <cfRule type="expression" dxfId="672" priority="110" stopIfTrue="1">
      <formula>"esterreur(reference)"</formula>
    </cfRule>
  </conditionalFormatting>
  <conditionalFormatting sqref="E260">
    <cfRule type="expression" dxfId="671" priority="168" stopIfTrue="1">
      <formula>"esterreur(reference)"</formula>
    </cfRule>
  </conditionalFormatting>
  <conditionalFormatting sqref="F5">
    <cfRule type="expression" dxfId="670" priority="165" stopIfTrue="1">
      <formula>"esterreur(reference)"</formula>
    </cfRule>
  </conditionalFormatting>
  <conditionalFormatting sqref="F84">
    <cfRule type="expression" dxfId="669" priority="164" stopIfTrue="1">
      <formula>"esterreur(reference)"</formula>
    </cfRule>
  </conditionalFormatting>
  <conditionalFormatting sqref="F102">
    <cfRule type="expression" dxfId="668" priority="169" stopIfTrue="1">
      <formula>"esterreur(reference)"</formula>
    </cfRule>
  </conditionalFormatting>
  <conditionalFormatting sqref="F258">
    <cfRule type="expression" dxfId="667" priority="156" stopIfTrue="1">
      <formula>"esterreur(reference)"</formula>
    </cfRule>
  </conditionalFormatting>
  <conditionalFormatting sqref="G31:G32">
    <cfRule type="expression" dxfId="666" priority="162" stopIfTrue="1">
      <formula>"esterreur(reference)"</formula>
    </cfRule>
  </conditionalFormatting>
  <conditionalFormatting sqref="G113:G114">
    <cfRule type="expression" dxfId="665" priority="159" stopIfTrue="1">
      <formula>"esterreur(reference)"</formula>
    </cfRule>
  </conditionalFormatting>
  <conditionalFormatting sqref="G186:G187">
    <cfRule type="expression" dxfId="664" priority="115" stopIfTrue="1">
      <formula>"esterreur(reference)"</formula>
    </cfRule>
  </conditionalFormatting>
  <conditionalFormatting sqref="G246:G255">
    <cfRule type="expression" dxfId="663" priority="166" stopIfTrue="1">
      <formula>"esterreur(reference)"</formula>
    </cfRule>
  </conditionalFormatting>
  <conditionalFormatting sqref="H25:H26 H28:H72">
    <cfRule type="expression" dxfId="662" priority="161" stopIfTrue="1">
      <formula>"esterreur(reference)"</formula>
    </cfRule>
  </conditionalFormatting>
  <conditionalFormatting sqref="H74">
    <cfRule type="expression" dxfId="661" priority="92" stopIfTrue="1">
      <formula>"esterreur(reference)"</formula>
    </cfRule>
  </conditionalFormatting>
  <conditionalFormatting sqref="H83">
    <cfRule type="expression" dxfId="660" priority="89" stopIfTrue="1">
      <formula>"esterreur(reference)"</formula>
    </cfRule>
  </conditionalFormatting>
  <conditionalFormatting sqref="H85">
    <cfRule type="expression" dxfId="659" priority="28" stopIfTrue="1">
      <formula>"esterreur(reference)"</formula>
    </cfRule>
  </conditionalFormatting>
  <conditionalFormatting sqref="H110:H154">
    <cfRule type="expression" dxfId="658" priority="23" stopIfTrue="1">
      <formula>"esterreur(reference)"</formula>
    </cfRule>
  </conditionalFormatting>
  <conditionalFormatting sqref="H156:H158">
    <cfRule type="expression" dxfId="657" priority="85" stopIfTrue="1">
      <formula>"esterreur(reference)"</formula>
    </cfRule>
  </conditionalFormatting>
  <conditionalFormatting sqref="H164">
    <cfRule type="expression" dxfId="656" priority="82" stopIfTrue="1">
      <formula>"esterreur(reference)"</formula>
    </cfRule>
  </conditionalFormatting>
  <conditionalFormatting sqref="H166">
    <cfRule type="expression" dxfId="655" priority="31" stopIfTrue="1">
      <formula>"esterreur(reference)"</formula>
    </cfRule>
  </conditionalFormatting>
  <conditionalFormatting sqref="H183:H227">
    <cfRule type="expression" dxfId="654" priority="19" stopIfTrue="1">
      <formula>"esterreur(reference)"</formula>
    </cfRule>
  </conditionalFormatting>
  <conditionalFormatting sqref="H229:H231">
    <cfRule type="expression" dxfId="653" priority="76" stopIfTrue="1">
      <formula>"esterreur(reference)"</formula>
    </cfRule>
  </conditionalFormatting>
  <conditionalFormatting sqref="H237">
    <cfRule type="expression" dxfId="652" priority="73" stopIfTrue="1">
      <formula>"esterreur(reference)"</formula>
    </cfRule>
  </conditionalFormatting>
  <conditionalFormatting sqref="H239">
    <cfRule type="expression" dxfId="651" priority="34" stopIfTrue="1">
      <formula>"esterreur(reference)"</formula>
    </cfRule>
  </conditionalFormatting>
  <conditionalFormatting sqref="H269">
    <cfRule type="expression" dxfId="650" priority="16" stopIfTrue="1">
      <formula>"esterreur(reference)"</formula>
    </cfRule>
  </conditionalFormatting>
  <conditionalFormatting sqref="H272:H303">
    <cfRule type="expression" dxfId="649" priority="70" stopIfTrue="1">
      <formula>"esterreur(reference)"</formula>
    </cfRule>
  </conditionalFormatting>
  <conditionalFormatting sqref="H305">
    <cfRule type="expression" dxfId="648" priority="68" stopIfTrue="1">
      <formula>"esterreur(reference)"</formula>
    </cfRule>
  </conditionalFormatting>
  <conditionalFormatting sqref="H307">
    <cfRule type="expression" dxfId="647" priority="37" stopIfTrue="1">
      <formula>"esterreur(reference)"</formula>
    </cfRule>
  </conditionalFormatting>
  <conditionalFormatting sqref="H327">
    <cfRule type="expression" dxfId="646" priority="12" stopIfTrue="1">
      <formula>"esterreur(reference)"</formula>
    </cfRule>
  </conditionalFormatting>
  <conditionalFormatting sqref="H330:H361">
    <cfRule type="expression" dxfId="645" priority="64" stopIfTrue="1">
      <formula>"esterreur(reference)"</formula>
    </cfRule>
  </conditionalFormatting>
  <conditionalFormatting sqref="H363">
    <cfRule type="expression" dxfId="644" priority="62" stopIfTrue="1">
      <formula>"esterreur(reference)"</formula>
    </cfRule>
  </conditionalFormatting>
  <conditionalFormatting sqref="H365">
    <cfRule type="expression" dxfId="643" priority="40" stopIfTrue="1">
      <formula>"esterreur(reference)"</formula>
    </cfRule>
  </conditionalFormatting>
  <conditionalFormatting sqref="H391">
    <cfRule type="expression" dxfId="642" priority="9" stopIfTrue="1">
      <formula>"esterreur(reference)"</formula>
    </cfRule>
  </conditionalFormatting>
  <conditionalFormatting sqref="H394:H425">
    <cfRule type="expression" dxfId="641" priority="59" stopIfTrue="1">
      <formula>"esterreur(reference)"</formula>
    </cfRule>
  </conditionalFormatting>
  <conditionalFormatting sqref="H427">
    <cfRule type="expression" dxfId="640" priority="57" stopIfTrue="1">
      <formula>"esterreur(reference)"</formula>
    </cfRule>
  </conditionalFormatting>
  <conditionalFormatting sqref="H429:H431">
    <cfRule type="expression" dxfId="639" priority="43" stopIfTrue="1">
      <formula>"esterreur(reference)"</formula>
    </cfRule>
  </conditionalFormatting>
  <conditionalFormatting sqref="H449">
    <cfRule type="expression" dxfId="638" priority="5" stopIfTrue="1">
      <formula>"esterreur(reference)"</formula>
    </cfRule>
  </conditionalFormatting>
  <conditionalFormatting sqref="H452:H482">
    <cfRule type="expression" dxfId="637" priority="52" stopIfTrue="1">
      <formula>"esterreur(reference)"</formula>
    </cfRule>
  </conditionalFormatting>
  <conditionalFormatting sqref="H484">
    <cfRule type="expression" dxfId="636" priority="49" stopIfTrue="1">
      <formula>"esterreur(reference)"</formula>
    </cfRule>
  </conditionalFormatting>
  <conditionalFormatting sqref="H486:H487">
    <cfRule type="expression" dxfId="635" priority="46" stopIfTrue="1">
      <formula>"esterreur(reference)"</formula>
    </cfRule>
  </conditionalFormatting>
  <conditionalFormatting sqref="H433:I433 K433:L433 J433:J434">
    <cfRule type="expression" dxfId="634" priority="146" stopIfTrue="1">
      <formula>"esterreur(reference)"</formula>
    </cfRule>
  </conditionalFormatting>
  <conditionalFormatting sqref="H317:J317">
    <cfRule type="expression" dxfId="633" priority="133" stopIfTrue="1">
      <formula>"esterreur(reference)"</formula>
    </cfRule>
  </conditionalFormatting>
  <conditionalFormatting sqref="H439:J439">
    <cfRule type="expression" dxfId="632" priority="107" stopIfTrue="1">
      <formula>"esterreur(reference)"</formula>
    </cfRule>
  </conditionalFormatting>
  <conditionalFormatting sqref="H435:L436">
    <cfRule type="expression" dxfId="631" priority="103" stopIfTrue="1">
      <formula>"esterreur(reference)"</formula>
    </cfRule>
  </conditionalFormatting>
  <conditionalFormatting sqref="H447:L447 H450:L451">
    <cfRule type="expression" dxfId="630" priority="102" stopIfTrue="1">
      <formula>"esterreur(reference)"</formula>
    </cfRule>
  </conditionalFormatting>
  <conditionalFormatting sqref="H483:L483 H485:L485">
    <cfRule type="expression" dxfId="629" priority="147" stopIfTrue="1">
      <formula>"esterreur(reference)"</formula>
    </cfRule>
  </conditionalFormatting>
  <conditionalFormatting sqref="I16:I18 I20 I24:I30">
    <cfRule type="expression" dxfId="628" priority="163" stopIfTrue="1">
      <formula>"esterreur(reference)"</formula>
    </cfRule>
  </conditionalFormatting>
  <conditionalFormatting sqref="I109:I110">
    <cfRule type="expression" dxfId="627" priority="24" stopIfTrue="1">
      <formula>"esterreur(reference)"</formula>
    </cfRule>
  </conditionalFormatting>
  <conditionalFormatting sqref="I182:I183">
    <cfRule type="expression" dxfId="626" priority="20" stopIfTrue="1">
      <formula>"esterreur(reference)"</formula>
    </cfRule>
  </conditionalFormatting>
  <conditionalFormatting sqref="I268:I269">
    <cfRule type="expression" dxfId="625" priority="17" stopIfTrue="1">
      <formula>"esterreur(reference)"</formula>
    </cfRule>
  </conditionalFormatting>
  <conditionalFormatting sqref="I326:I327">
    <cfRule type="expression" dxfId="624" priority="13" stopIfTrue="1">
      <formula>"esterreur(reference)"</formula>
    </cfRule>
  </conditionalFormatting>
  <conditionalFormatting sqref="I390:I391">
    <cfRule type="expression" dxfId="623" priority="10" stopIfTrue="1">
      <formula>"esterreur(reference)"</formula>
    </cfRule>
  </conditionalFormatting>
  <conditionalFormatting sqref="I448:I449">
    <cfRule type="expression" dxfId="622" priority="6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621" priority="140" stopIfTrue="1">
      <formula>"esterreur(reference)"</formula>
    </cfRule>
  </conditionalFormatting>
  <conditionalFormatting sqref="J16 L16:L24">
    <cfRule type="expression" dxfId="620" priority="135" stopIfTrue="1">
      <formula>"esterreur(reference)"</formula>
    </cfRule>
  </conditionalFormatting>
  <conditionalFormatting sqref="J182 J183:L183">
    <cfRule type="expression" dxfId="619" priority="21" stopIfTrue="1">
      <formula>"esterreur(reference)"</formula>
    </cfRule>
  </conditionalFormatting>
  <conditionalFormatting sqref="J326 J327:K327">
    <cfRule type="expression" dxfId="618" priority="14" stopIfTrue="1">
      <formula>"esterreur(reference)"</formula>
    </cfRule>
  </conditionalFormatting>
  <conditionalFormatting sqref="J371:J390">
    <cfRule type="expression" dxfId="617" priority="3" stopIfTrue="1">
      <formula>"esterreur(reference)"</formula>
    </cfRule>
  </conditionalFormatting>
  <conditionalFormatting sqref="J448 J449:K449">
    <cfRule type="expression" dxfId="616" priority="7" stopIfTrue="1">
      <formula>"esterreur(reference)"</formula>
    </cfRule>
  </conditionalFormatting>
  <conditionalFormatting sqref="J54:K54">
    <cfRule type="expression" dxfId="615" priority="96" stopIfTrue="1">
      <formula>"esterreur(reference)"</formula>
    </cfRule>
  </conditionalFormatting>
  <conditionalFormatting sqref="J72:K72">
    <cfRule type="expression" dxfId="614" priority="94" stopIfTrue="1">
      <formula>"esterreur(reference)"</formula>
    </cfRule>
  </conditionalFormatting>
  <conditionalFormatting sqref="J74:K74">
    <cfRule type="expression" dxfId="613" priority="91" stopIfTrue="1">
      <formula>"esterreur(reference)"</formula>
    </cfRule>
  </conditionalFormatting>
  <conditionalFormatting sqref="J85:K85">
    <cfRule type="expression" dxfId="612" priority="27" stopIfTrue="1">
      <formula>"esterreur(reference)"</formula>
    </cfRule>
  </conditionalFormatting>
  <conditionalFormatting sqref="J156:K158">
    <cfRule type="expression" dxfId="611" priority="84" stopIfTrue="1">
      <formula>"esterreur(reference)"</formula>
    </cfRule>
  </conditionalFormatting>
  <conditionalFormatting sqref="J164:K164">
    <cfRule type="expression" dxfId="610" priority="81" stopIfTrue="1">
      <formula>"esterreur(reference)"</formula>
    </cfRule>
  </conditionalFormatting>
  <conditionalFormatting sqref="J166:K166">
    <cfRule type="expression" dxfId="609" priority="30" stopIfTrue="1">
      <formula>"esterreur(reference)"</formula>
    </cfRule>
  </conditionalFormatting>
  <conditionalFormatting sqref="J229:K231">
    <cfRule type="expression" dxfId="608" priority="75" stopIfTrue="1">
      <formula>"esterreur(reference)"</formula>
    </cfRule>
  </conditionalFormatting>
  <conditionalFormatting sqref="J237:K237">
    <cfRule type="expression" dxfId="607" priority="72" stopIfTrue="1">
      <formula>"esterreur(reference)"</formula>
    </cfRule>
  </conditionalFormatting>
  <conditionalFormatting sqref="J239:K239">
    <cfRule type="expression" dxfId="606" priority="33" stopIfTrue="1">
      <formula>"esterreur(reference)"</formula>
    </cfRule>
  </conditionalFormatting>
  <conditionalFormatting sqref="J305:K305">
    <cfRule type="expression" dxfId="605" priority="67" stopIfTrue="1">
      <formula>"esterreur(reference)"</formula>
    </cfRule>
  </conditionalFormatting>
  <conditionalFormatting sqref="J307:K307">
    <cfRule type="expression" dxfId="604" priority="36" stopIfTrue="1">
      <formula>"esterreur(reference)"</formula>
    </cfRule>
  </conditionalFormatting>
  <conditionalFormatting sqref="J363:K363">
    <cfRule type="expression" dxfId="603" priority="61" stopIfTrue="1">
      <formula>"esterreur(reference)"</formula>
    </cfRule>
  </conditionalFormatting>
  <conditionalFormatting sqref="J365:K365">
    <cfRule type="expression" dxfId="602" priority="39" stopIfTrue="1">
      <formula>"esterreur(reference)"</formula>
    </cfRule>
  </conditionalFormatting>
  <conditionalFormatting sqref="J427:K427">
    <cfRule type="expression" dxfId="601" priority="56" stopIfTrue="1">
      <formula>"esterreur(reference)"</formula>
    </cfRule>
  </conditionalFormatting>
  <conditionalFormatting sqref="J429:K431">
    <cfRule type="expression" dxfId="600" priority="42" stopIfTrue="1">
      <formula>"esterreur(reference)"</formula>
    </cfRule>
  </conditionalFormatting>
  <conditionalFormatting sqref="J464:K464">
    <cfRule type="expression" dxfId="599" priority="54" stopIfTrue="1">
      <formula>"esterreur(reference)"</formula>
    </cfRule>
  </conditionalFormatting>
  <conditionalFormatting sqref="J482:K482">
    <cfRule type="expression" dxfId="598" priority="51" stopIfTrue="1">
      <formula>"esterreur(reference)"</formula>
    </cfRule>
  </conditionalFormatting>
  <conditionalFormatting sqref="J484:K484">
    <cfRule type="expression" dxfId="597" priority="48" stopIfTrue="1">
      <formula>"esterreur(reference)"</formula>
    </cfRule>
  </conditionalFormatting>
  <conditionalFormatting sqref="J486:K487">
    <cfRule type="expression" dxfId="596" priority="45" stopIfTrue="1">
      <formula>"esterreur(reference)"</formula>
    </cfRule>
  </conditionalFormatting>
  <conditionalFormatting sqref="J53:L53 J55:L71">
    <cfRule type="expression" dxfId="595" priority="134" stopIfTrue="1">
      <formula>"esterreur(reference)"</formula>
    </cfRule>
  </conditionalFormatting>
  <conditionalFormatting sqref="J465:L481">
    <cfRule type="expression" dxfId="594" priority="148" stopIfTrue="1">
      <formula>"esterreur(reference)"</formula>
    </cfRule>
  </conditionalFormatting>
  <conditionalFormatting sqref="K5">
    <cfRule type="expression" dxfId="593" priority="155" stopIfTrue="1">
      <formula>"esterreur(reference)"</formula>
    </cfRule>
  </conditionalFormatting>
  <conditionalFormatting sqref="K321:L321">
    <cfRule type="expression" dxfId="592" priority="153" stopIfTrue="1">
      <formula>"esterreur(reference)"</formula>
    </cfRule>
  </conditionalFormatting>
  <conditionalFormatting sqref="K437:L437 L439 K440:L440">
    <cfRule type="expression" dxfId="591" priority="108" stopIfTrue="1">
      <formula>"esterreur(reference)"</formula>
    </cfRule>
  </conditionalFormatting>
  <conditionalFormatting sqref="K443:L443">
    <cfRule type="expression" dxfId="590" priority="109" stopIfTrue="1">
      <formula>"esterreur(reference)"</formula>
    </cfRule>
  </conditionalFormatting>
  <conditionalFormatting sqref="L5:L14">
    <cfRule type="expression" dxfId="589" priority="25" stopIfTrue="1">
      <formula>"esterreur(reference)"</formula>
    </cfRule>
  </conditionalFormatting>
  <conditionalFormatting sqref="L75:L82">
    <cfRule type="expression" dxfId="588" priority="142" stopIfTrue="1">
      <formula>"esterreur(reference)"</formula>
    </cfRule>
  </conditionalFormatting>
  <conditionalFormatting sqref="L157:L163">
    <cfRule type="expression" dxfId="587" priority="152" stopIfTrue="1">
      <formula>"esterreur(reference)"</formula>
    </cfRule>
  </conditionalFormatting>
  <conditionalFormatting sqref="L230:L236">
    <cfRule type="expression" dxfId="586" priority="114" stopIfTrue="1">
      <formula>"esterreur(reference)"</formula>
    </cfRule>
  </conditionalFormatting>
  <conditionalFormatting sqref="L272:L283">
    <cfRule type="expression" dxfId="585" priority="150" stopIfTrue="1">
      <formula>"esterreur(reference)"</formula>
    </cfRule>
  </conditionalFormatting>
  <conditionalFormatting sqref="L285:L302">
    <cfRule type="expression" dxfId="584" priority="151" stopIfTrue="1">
      <formula>"esterreur(reference)"</formula>
    </cfRule>
  </conditionalFormatting>
  <conditionalFormatting sqref="L324">
    <cfRule type="expression" dxfId="583" priority="99" stopIfTrue="1">
      <formula>"esterreur(reference)"</formula>
    </cfRule>
  </conditionalFormatting>
  <conditionalFormatting sqref="L330:L341">
    <cfRule type="expression" dxfId="582" priority="154" stopIfTrue="1">
      <formula>"esterreur(reference)"</formula>
    </cfRule>
  </conditionalFormatting>
  <conditionalFormatting sqref="L422:L424">
    <cfRule type="expression" dxfId="581" priority="149" stopIfTrue="1">
      <formula>"esterreur(reference)"</formula>
    </cfRule>
  </conditionalFormatting>
  <conditionalFormatting sqref="L446">
    <cfRule type="expression" dxfId="580" priority="2" stopIfTrue="1">
      <formula>"esterreur(reference)"</formula>
    </cfRule>
  </conditionalFormatting>
  <conditionalFormatting sqref="M95:M97">
    <cfRule type="expression" dxfId="579" priority="141" stopIfTrue="1">
      <formula>"esterreur(reference)"</formula>
    </cfRule>
  </conditionalFormatting>
  <conditionalFormatting sqref="M177:M179">
    <cfRule type="expression" dxfId="578" priority="113" stopIfTrue="1">
      <formula>"esterreur(reference)"</formula>
    </cfRule>
  </conditionalFormatting>
  <conditionalFormatting sqref="N283">
    <cfRule type="expression" dxfId="577" priority="136" stopIfTrue="1">
      <formula>"esterreur(reference)"</formula>
    </cfRule>
  </conditionalFormatting>
  <conditionalFormatting sqref="N394:N404">
    <cfRule type="expression" dxfId="576" priority="138" stopIfTrue="1">
      <formula>"esterreur(reference)"</formula>
    </cfRule>
  </conditionalFormatting>
  <conditionalFormatting sqref="N271:Q271">
    <cfRule type="expression" dxfId="575" priority="124" stopIfTrue="1">
      <formula>"esterreur(reference)"</formula>
    </cfRule>
  </conditionalFormatting>
  <conditionalFormatting sqref="O16 Q16:Q24">
    <cfRule type="expression" dxfId="574" priority="129" stopIfTrue="1">
      <formula>"esterreur(reference)"</formula>
    </cfRule>
  </conditionalFormatting>
  <conditionalFormatting sqref="O109 O110:Q122">
    <cfRule type="expression" dxfId="573" priority="22" stopIfTrue="1">
      <formula>"esterreur(reference)"</formula>
    </cfRule>
  </conditionalFormatting>
  <conditionalFormatting sqref="O182 O183:Q195">
    <cfRule type="expression" dxfId="572" priority="18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571" priority="123" stopIfTrue="1">
      <formula>"esterreur(reference)"</formula>
    </cfRule>
  </conditionalFormatting>
  <conditionalFormatting sqref="O266:O268 O269:P269">
    <cfRule type="expression" dxfId="570" priority="15" stopIfTrue="1">
      <formula>"esterreur(reference)"</formula>
    </cfRule>
  </conditionalFormatting>
  <conditionalFormatting sqref="O317">
    <cfRule type="expression" dxfId="569" priority="119" stopIfTrue="1">
      <formula>"esterreur(reference)"</formula>
    </cfRule>
  </conditionalFormatting>
  <conditionalFormatting sqref="O326 O327:P327">
    <cfRule type="expression" dxfId="568" priority="11" stopIfTrue="1">
      <formula>"esterreur(reference)"</formula>
    </cfRule>
  </conditionalFormatting>
  <conditionalFormatting sqref="O390 O391:P391">
    <cfRule type="expression" dxfId="567" priority="8" stopIfTrue="1">
      <formula>"esterreur(reference)"</formula>
    </cfRule>
  </conditionalFormatting>
  <conditionalFormatting sqref="O439">
    <cfRule type="expression" dxfId="566" priority="104" stopIfTrue="1">
      <formula>"esterreur(reference)"</formula>
    </cfRule>
  </conditionalFormatting>
  <conditionalFormatting sqref="O448 O449:P449">
    <cfRule type="expression" dxfId="565" priority="4" stopIfTrue="1">
      <formula>"esterreur(reference)"</formula>
    </cfRule>
  </conditionalFormatting>
  <conditionalFormatting sqref="O54:P54">
    <cfRule type="expression" dxfId="564" priority="95" stopIfTrue="1">
      <formula>"esterreur(reference)"</formula>
    </cfRule>
  </conditionalFormatting>
  <conditionalFormatting sqref="O72:P72">
    <cfRule type="expression" dxfId="563" priority="93" stopIfTrue="1">
      <formula>"esterreur(reference)"</formula>
    </cfRule>
  </conditionalFormatting>
  <conditionalFormatting sqref="O74:P74">
    <cfRule type="expression" dxfId="562" priority="90" stopIfTrue="1">
      <formula>"esterreur(reference)"</formula>
    </cfRule>
  </conditionalFormatting>
  <conditionalFormatting sqref="O85:P85">
    <cfRule type="expression" dxfId="561" priority="26" stopIfTrue="1">
      <formula>"esterreur(reference)"</formula>
    </cfRule>
  </conditionalFormatting>
  <conditionalFormatting sqref="O123:P133">
    <cfRule type="expression" dxfId="560" priority="88" stopIfTrue="1">
      <formula>"esterreur(reference)"</formula>
    </cfRule>
  </conditionalFormatting>
  <conditionalFormatting sqref="O136:P136">
    <cfRule type="expression" dxfId="559" priority="87" stopIfTrue="1">
      <formula>"esterreur(reference)"</formula>
    </cfRule>
  </conditionalFormatting>
  <conditionalFormatting sqref="O154:P154">
    <cfRule type="expression" dxfId="558" priority="86" stopIfTrue="1">
      <formula>"esterreur(reference)"</formula>
    </cfRule>
  </conditionalFormatting>
  <conditionalFormatting sqref="O156:P158">
    <cfRule type="expression" dxfId="557" priority="83" stopIfTrue="1">
      <formula>"esterreur(reference)"</formula>
    </cfRule>
  </conditionalFormatting>
  <conditionalFormatting sqref="O164:P164">
    <cfRule type="expression" dxfId="556" priority="80" stopIfTrue="1">
      <formula>"esterreur(reference)"</formula>
    </cfRule>
  </conditionalFormatting>
  <conditionalFormatting sqref="O166:P166">
    <cfRule type="expression" dxfId="555" priority="29" stopIfTrue="1">
      <formula>"esterreur(reference)"</formula>
    </cfRule>
  </conditionalFormatting>
  <conditionalFormatting sqref="O196:P206">
    <cfRule type="expression" dxfId="554" priority="79" stopIfTrue="1">
      <formula>"esterreur(reference)"</formula>
    </cfRule>
  </conditionalFormatting>
  <conditionalFormatting sqref="O209:P209">
    <cfRule type="expression" dxfId="553" priority="78" stopIfTrue="1">
      <formula>"esterreur(reference)"</formula>
    </cfRule>
  </conditionalFormatting>
  <conditionalFormatting sqref="O227:P227">
    <cfRule type="expression" dxfId="552" priority="77" stopIfTrue="1">
      <formula>"esterreur(reference)"</formula>
    </cfRule>
  </conditionalFormatting>
  <conditionalFormatting sqref="O229:P231">
    <cfRule type="expression" dxfId="551" priority="74" stopIfTrue="1">
      <formula>"esterreur(reference)"</formula>
    </cfRule>
  </conditionalFormatting>
  <conditionalFormatting sqref="O237:P237">
    <cfRule type="expression" dxfId="550" priority="71" stopIfTrue="1">
      <formula>"esterreur(reference)"</formula>
    </cfRule>
  </conditionalFormatting>
  <conditionalFormatting sqref="O239:P239">
    <cfRule type="expression" dxfId="549" priority="32" stopIfTrue="1">
      <formula>"esterreur(reference)"</formula>
    </cfRule>
  </conditionalFormatting>
  <conditionalFormatting sqref="O276:P303">
    <cfRule type="expression" dxfId="548" priority="69" stopIfTrue="1">
      <formula>"esterreur(reference)"</formula>
    </cfRule>
  </conditionalFormatting>
  <conditionalFormatting sqref="O305:P305">
    <cfRule type="expression" dxfId="547" priority="66" stopIfTrue="1">
      <formula>"esterreur(reference)"</formula>
    </cfRule>
  </conditionalFormatting>
  <conditionalFormatting sqref="O307:P307">
    <cfRule type="expression" dxfId="546" priority="35" stopIfTrue="1">
      <formula>"esterreur(reference)"</formula>
    </cfRule>
  </conditionalFormatting>
  <conditionalFormatting sqref="O330:P342">
    <cfRule type="expression" dxfId="545" priority="65" stopIfTrue="1">
      <formula>"esterreur(reference)"</formula>
    </cfRule>
  </conditionalFormatting>
  <conditionalFormatting sqref="O361:P361">
    <cfRule type="expression" dxfId="544" priority="63" stopIfTrue="1">
      <formula>"esterreur(reference)"</formula>
    </cfRule>
  </conditionalFormatting>
  <conditionalFormatting sqref="O363:P363">
    <cfRule type="expression" dxfId="543" priority="60" stopIfTrue="1">
      <formula>"esterreur(reference)"</formula>
    </cfRule>
  </conditionalFormatting>
  <conditionalFormatting sqref="O365:P365">
    <cfRule type="expression" dxfId="542" priority="38" stopIfTrue="1">
      <formula>"esterreur(reference)"</formula>
    </cfRule>
  </conditionalFormatting>
  <conditionalFormatting sqref="O371:P379 O380:Q382 O383:P384 O385:Q389 O392:Q405 O428:Q428">
    <cfRule type="expression" dxfId="541" priority="117" stopIfTrue="1">
      <formula>"esterreur(reference)"</formula>
    </cfRule>
  </conditionalFormatting>
  <conditionalFormatting sqref="O406:P425">
    <cfRule type="expression" dxfId="540" priority="58" stopIfTrue="1">
      <formula>"esterreur(reference)"</formula>
    </cfRule>
  </conditionalFormatting>
  <conditionalFormatting sqref="O427:P427">
    <cfRule type="expression" dxfId="539" priority="55" stopIfTrue="1">
      <formula>"esterreur(reference)"</formula>
    </cfRule>
  </conditionalFormatting>
  <conditionalFormatting sqref="O429:P429">
    <cfRule type="expression" dxfId="538" priority="41" stopIfTrue="1">
      <formula>"esterreur(reference)"</formula>
    </cfRule>
  </conditionalFormatting>
  <conditionalFormatting sqref="O464:P464">
    <cfRule type="expression" dxfId="537" priority="53" stopIfTrue="1">
      <formula>"esterreur(reference)"</formula>
    </cfRule>
  </conditionalFormatting>
  <conditionalFormatting sqref="O482:P482">
    <cfRule type="expression" dxfId="536" priority="50" stopIfTrue="1">
      <formula>"esterreur(reference)"</formula>
    </cfRule>
  </conditionalFormatting>
  <conditionalFormatting sqref="O484:P484">
    <cfRule type="expression" dxfId="535" priority="47" stopIfTrue="1">
      <formula>"esterreur(reference)"</formula>
    </cfRule>
  </conditionalFormatting>
  <conditionalFormatting sqref="O486:P486">
    <cfRule type="expression" dxfId="534" priority="44" stopIfTrue="1">
      <formula>"esterreur(reference)"</formula>
    </cfRule>
  </conditionalFormatting>
  <conditionalFormatting sqref="O53:Q53 O55:Q71">
    <cfRule type="expression" dxfId="533" priority="128" stopIfTrue="1">
      <formula>"esterreur(reference)"</formula>
    </cfRule>
  </conditionalFormatting>
  <conditionalFormatting sqref="O180:Q181">
    <cfRule type="expression" dxfId="532" priority="111" stopIfTrue="1">
      <formula>"esterreur(reference)"</formula>
    </cfRule>
  </conditionalFormatting>
  <conditionalFormatting sqref="O436:Q436">
    <cfRule type="expression" dxfId="531" priority="116" stopIfTrue="1">
      <formula>"esterreur(reference)"</formula>
    </cfRule>
  </conditionalFormatting>
  <conditionalFormatting sqref="O447:Q447 O450:Q463 O465:Q481">
    <cfRule type="expression" dxfId="530" priority="101" stopIfTrue="1">
      <formula>"esterreur(reference)"</formula>
    </cfRule>
  </conditionalFormatting>
  <conditionalFormatting sqref="O483:Q483 O485:Q485">
    <cfRule type="expression" dxfId="529" priority="100" stopIfTrue="1">
      <formula>"esterreur(reference)"</formula>
    </cfRule>
  </conditionalFormatting>
  <conditionalFormatting sqref="P5:Q5">
    <cfRule type="expression" dxfId="528" priority="132" stopIfTrue="1">
      <formula>"esterreur(reference)"</formula>
    </cfRule>
  </conditionalFormatting>
  <conditionalFormatting sqref="P315:Q315 P317:Q318 O328:Q329 O343:Q360 O364:Q364">
    <cfRule type="expression" dxfId="527" priority="120" stopIfTrue="1">
      <formula>"esterreur(reference)"</formula>
    </cfRule>
  </conditionalFormatting>
  <conditionalFormatting sqref="P321:Q321">
    <cfRule type="expression" dxfId="526" priority="121" stopIfTrue="1">
      <formula>"esterreur(reference)"</formula>
    </cfRule>
  </conditionalFormatting>
  <conditionalFormatting sqref="P437:Q437 Q439 P440:Q440">
    <cfRule type="expression" dxfId="525" priority="105" stopIfTrue="1">
      <formula>"esterreur(reference)"</formula>
    </cfRule>
  </conditionalFormatting>
  <conditionalFormatting sqref="P443:Q443">
    <cfRule type="expression" dxfId="524" priority="106" stopIfTrue="1">
      <formula>"esterreur(reference)"</formula>
    </cfRule>
  </conditionalFormatting>
  <conditionalFormatting sqref="Q6:Q14 O13:O14 O18:O24 O25:Q26 O27 O28:Q30 O31:P36 O37 O38:P52 O83:P83 O84:Q84">
    <cfRule type="expression" dxfId="523" priority="130" stopIfTrue="1">
      <formula>"esterreur(reference)"</formula>
    </cfRule>
  </conditionalFormatting>
  <conditionalFormatting sqref="Q75:Q82">
    <cfRule type="expression" dxfId="522" priority="131" stopIfTrue="1">
      <formula>"esterreur(reference)"</formula>
    </cfRule>
  </conditionalFormatting>
  <conditionalFormatting sqref="Q157:Q163">
    <cfRule type="expression" dxfId="521" priority="127" stopIfTrue="1">
      <formula>"esterreur(reference)"</formula>
    </cfRule>
  </conditionalFormatting>
  <conditionalFormatting sqref="Q230:Q236">
    <cfRule type="expression" dxfId="520" priority="112" stopIfTrue="1">
      <formula>"esterreur(reference)"</formula>
    </cfRule>
  </conditionalFormatting>
  <conditionalFormatting sqref="Q259">
    <cfRule type="expression" dxfId="519" priority="97" stopIfTrue="1">
      <formula>"esterreur(reference)"</formula>
    </cfRule>
  </conditionalFormatting>
  <conditionalFormatting sqref="Q272:Q283">
    <cfRule type="expression" dxfId="518" priority="125" stopIfTrue="1">
      <formula>"esterreur(reference)"</formula>
    </cfRule>
  </conditionalFormatting>
  <conditionalFormatting sqref="Q285:Q302">
    <cfRule type="expression" dxfId="517" priority="126" stopIfTrue="1">
      <formula>"esterreur(reference)"</formula>
    </cfRule>
  </conditionalFormatting>
  <conditionalFormatting sqref="Q324">
    <cfRule type="expression" dxfId="516" priority="98" stopIfTrue="1">
      <formula>"esterreur(reference)"</formula>
    </cfRule>
  </conditionalFormatting>
  <conditionalFormatting sqref="Q330:Q341">
    <cfRule type="expression" dxfId="515" priority="122" stopIfTrue="1">
      <formula>"esterreur(reference)"</formula>
    </cfRule>
  </conditionalFormatting>
  <conditionalFormatting sqref="Q422:Q424">
    <cfRule type="expression" dxfId="514" priority="118" stopIfTrue="1">
      <formula>"esterreur(reference)"</formula>
    </cfRule>
  </conditionalFormatting>
  <conditionalFormatting sqref="Q446">
    <cfRule type="expression" dxfId="513" priority="1" stopIfTrue="1">
      <formula>"esterreur(reference)"</formula>
    </cfRule>
  </conditionalFormatting>
  <conditionalFormatting sqref="R388">
    <cfRule type="expression" dxfId="512" priority="143" stopIfTrue="1">
      <formula>"esterreur(reference)"</formula>
    </cfRule>
  </conditionalFormatting>
  <conditionalFormatting sqref="S260">
    <cfRule type="expression" dxfId="511" priority="157" stopIfTrue="1">
      <formula>"esterreur(reference)"</formula>
    </cfRule>
  </conditionalFormatting>
  <conditionalFormatting sqref="AG496:AI505 AH507:AI519 AH521:AI538 AH540:AI547 AH548:AH549 AH550:AI552 AH554:AI554 AH578:AI584">
    <cfRule type="cellIs" dxfId="510" priority="144" operator="greaterThan">
      <formula>0</formula>
    </cfRule>
  </conditionalFormatting>
  <conditionalFormatting sqref="AH556:AI563 AH567:AI567">
    <cfRule type="cellIs" dxfId="509" priority="145" operator="lessThan">
      <formula>0</formula>
    </cfRule>
  </conditionalFormatting>
  <conditionalFormatting sqref="AH564:AI566">
    <cfRule type="cellIs" dxfId="508" priority="160" operator="greaterThan">
      <formula>0</formula>
    </cfRule>
  </conditionalFormatting>
  <conditionalFormatting sqref="AO496:AO505">
    <cfRule type="cellIs" dxfId="507" priority="158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/>
  <dimension ref="A1:BJ780"/>
  <sheetViews>
    <sheetView topLeftCell="A530" zoomScale="60" zoomScaleNormal="60" workbookViewId="0">
      <selection activeCellId="3" sqref="A586:XFD1048576 AG585:XFD585 A585:AE585 A1:XFD584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0" max="21" width="11.625" style="382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218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518</v>
      </c>
      <c r="T1" s="405" t="s">
        <v>1</v>
      </c>
      <c r="U1" s="38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208</v>
      </c>
      <c r="K2" s="5"/>
      <c r="L2" s="5" t="s">
        <v>209</v>
      </c>
      <c r="M2" s="6"/>
      <c r="N2" s="6"/>
      <c r="O2" s="5" t="s">
        <v>208</v>
      </c>
      <c r="P2" s="5"/>
      <c r="Q2" s="5" t="s">
        <v>209</v>
      </c>
      <c r="R2" s="6"/>
      <c r="S2" s="6"/>
      <c r="T2" s="6"/>
      <c r="U2" s="6"/>
      <c r="V2" s="282" t="s">
        <v>271</v>
      </c>
      <c r="W2" s="283"/>
    </row>
    <row r="3" spans="1:40" ht="21" thickTop="1">
      <c r="B3" s="7"/>
      <c r="C3" s="259"/>
      <c r="D3" s="426" t="s">
        <v>5</v>
      </c>
      <c r="E3" s="427"/>
      <c r="F3" s="425"/>
      <c r="G3" s="424"/>
      <c r="H3" s="427"/>
      <c r="I3" s="425"/>
      <c r="J3" s="424" t="s">
        <v>7</v>
      </c>
      <c r="K3" s="427"/>
      <c r="L3" s="425"/>
      <c r="M3" s="424" t="s">
        <v>210</v>
      </c>
      <c r="N3" s="425"/>
      <c r="O3" s="426" t="s">
        <v>8</v>
      </c>
      <c r="P3" s="427"/>
      <c r="Q3" s="425"/>
      <c r="R3" s="424" t="s">
        <v>211</v>
      </c>
      <c r="S3" s="425"/>
      <c r="T3" s="6"/>
      <c r="U3" s="6"/>
      <c r="V3" s="284" t="s">
        <v>272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220</v>
      </c>
      <c r="K4" s="9" t="s">
        <v>13</v>
      </c>
      <c r="L4" s="10" t="s">
        <v>12</v>
      </c>
      <c r="M4" s="11" t="s">
        <v>220</v>
      </c>
      <c r="N4" s="10" t="s">
        <v>12</v>
      </c>
      <c r="O4" s="11" t="s">
        <v>220</v>
      </c>
      <c r="P4" s="9" t="s">
        <v>13</v>
      </c>
      <c r="Q4" s="10" t="s">
        <v>12</v>
      </c>
      <c r="R4" s="11" t="s">
        <v>220</v>
      </c>
      <c r="S4" s="10" t="s">
        <v>12</v>
      </c>
      <c r="T4" s="6"/>
      <c r="U4" s="6"/>
      <c r="V4" s="284" t="s">
        <v>273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396" t="s">
        <v>274</v>
      </c>
      <c r="B5" s="7" t="s">
        <v>0</v>
      </c>
      <c r="C5" s="14" t="s">
        <v>14</v>
      </c>
      <c r="D5" s="12"/>
      <c r="E5" s="12"/>
      <c r="F5" s="31" t="e">
        <v>#N/A</v>
      </c>
      <c r="G5" s="12"/>
      <c r="H5" s="12"/>
      <c r="I5" s="15"/>
      <c r="J5" s="14"/>
      <c r="K5" s="30"/>
      <c r="L5" s="61">
        <v>5549753.3899999959</v>
      </c>
      <c r="M5" s="17"/>
      <c r="N5" s="18"/>
      <c r="O5" s="14"/>
      <c r="P5" s="30"/>
      <c r="Q5" s="61">
        <v>8048046.4199999925</v>
      </c>
      <c r="R5" s="17"/>
      <c r="S5" s="286"/>
      <c r="T5" s="6"/>
      <c r="U5" s="6">
        <f>L5/AF493</f>
        <v>0.39786619894257724</v>
      </c>
      <c r="V5" s="284" t="s">
        <v>275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396" t="s">
        <v>276</v>
      </c>
      <c r="B6" s="7" t="s">
        <v>0</v>
      </c>
      <c r="C6" s="26" t="s">
        <v>15</v>
      </c>
      <c r="D6" s="19" t="e">
        <v>#N/A</v>
      </c>
      <c r="E6" s="19" t="e">
        <f>IF(D6=0,0,F6/D6)</f>
        <v>#N/A</v>
      </c>
      <c r="F6" s="19" t="e">
        <v>#N/A</v>
      </c>
      <c r="G6" s="20"/>
      <c r="H6" s="19"/>
      <c r="I6" s="19"/>
      <c r="J6" s="20">
        <v>0</v>
      </c>
      <c r="K6" s="55">
        <f t="shared" ref="K6:K12" si="0">IF(J6=0,0,L6/J6)</f>
        <v>0</v>
      </c>
      <c r="L6" s="39">
        <v>0</v>
      </c>
      <c r="M6" s="20" t="e">
        <f t="shared" ref="M6:M12" si="1">J6-D6</f>
        <v>#N/A</v>
      </c>
      <c r="N6" s="21" t="e">
        <f t="shared" ref="N6:N12" si="2">L6-F6</f>
        <v>#N/A</v>
      </c>
      <c r="O6" s="20">
        <v>2</v>
      </c>
      <c r="P6" s="55">
        <f t="shared" ref="P6:P12" si="3">IF(O6=0,0,Q6/O6)</f>
        <v>5561</v>
      </c>
      <c r="Q6" s="39">
        <v>11122</v>
      </c>
      <c r="R6" s="40">
        <f>J6-O6</f>
        <v>-2</v>
      </c>
      <c r="S6" s="39">
        <f>L6-Q6</f>
        <v>-11122</v>
      </c>
      <c r="T6" s="6"/>
      <c r="U6" s="6"/>
      <c r="V6" s="284" t="s">
        <v>277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396" t="s">
        <v>278</v>
      </c>
      <c r="B7" s="7" t="s">
        <v>0</v>
      </c>
      <c r="C7" s="26" t="s">
        <v>16</v>
      </c>
      <c r="D7" s="19" t="e">
        <v>#N/A</v>
      </c>
      <c r="E7" s="19" t="e">
        <f t="shared" ref="E7:E12" si="4">IF(D7=0,0,F7/D7)</f>
        <v>#N/A</v>
      </c>
      <c r="F7" s="19" t="e">
        <v>#N/A</v>
      </c>
      <c r="G7" s="20"/>
      <c r="H7" s="19"/>
      <c r="I7" s="19"/>
      <c r="J7" s="20">
        <v>26</v>
      </c>
      <c r="K7" s="55">
        <f t="shared" si="0"/>
        <v>2497.6038461538546</v>
      </c>
      <c r="L7" s="39">
        <v>64937.700000000215</v>
      </c>
      <c r="M7" s="20" t="e">
        <f t="shared" si="1"/>
        <v>#N/A</v>
      </c>
      <c r="N7" s="21" t="e">
        <f t="shared" si="2"/>
        <v>#N/A</v>
      </c>
      <c r="O7" s="20">
        <v>67</v>
      </c>
      <c r="P7" s="55">
        <f t="shared" si="3"/>
        <v>2643.7070149253668</v>
      </c>
      <c r="Q7" s="39">
        <v>177128.36999999959</v>
      </c>
      <c r="R7" s="40">
        <f>J7-O7</f>
        <v>-41</v>
      </c>
      <c r="S7" s="39">
        <f>L7-Q7</f>
        <v>-112190.66999999937</v>
      </c>
      <c r="T7" s="6"/>
      <c r="U7" s="6"/>
      <c r="V7" s="284" t="s">
        <v>279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396" t="s">
        <v>280</v>
      </c>
      <c r="B8" s="7" t="s">
        <v>0</v>
      </c>
      <c r="C8" s="26" t="s">
        <v>281</v>
      </c>
      <c r="D8" s="19" t="e">
        <v>#N/A</v>
      </c>
      <c r="E8" s="19" t="e">
        <f t="shared" si="4"/>
        <v>#N/A</v>
      </c>
      <c r="F8" s="19" t="e">
        <v>#N/A</v>
      </c>
      <c r="G8" s="20"/>
      <c r="H8" s="19"/>
      <c r="I8" s="19"/>
      <c r="J8" s="20">
        <v>0</v>
      </c>
      <c r="K8" s="55">
        <f t="shared" si="0"/>
        <v>0</v>
      </c>
      <c r="L8" s="39">
        <v>0</v>
      </c>
      <c r="M8" s="20" t="e">
        <f t="shared" si="1"/>
        <v>#N/A</v>
      </c>
      <c r="N8" s="21" t="e">
        <f t="shared" si="2"/>
        <v>#N/A</v>
      </c>
      <c r="O8" s="20">
        <v>0</v>
      </c>
      <c r="P8" s="55">
        <f t="shared" si="3"/>
        <v>0</v>
      </c>
      <c r="Q8" s="39">
        <v>0</v>
      </c>
      <c r="R8" s="40">
        <f>J8-O8</f>
        <v>0</v>
      </c>
      <c r="S8" s="39">
        <f>L8-Q8</f>
        <v>0</v>
      </c>
      <c r="T8" s="6"/>
      <c r="U8" s="6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396" t="s">
        <v>282</v>
      </c>
      <c r="B9" s="7" t="s">
        <v>0</v>
      </c>
      <c r="C9" s="26" t="s">
        <v>283</v>
      </c>
      <c r="D9" s="19" t="e">
        <v>#N/A</v>
      </c>
      <c r="E9" s="19" t="e">
        <f t="shared" si="4"/>
        <v>#N/A</v>
      </c>
      <c r="F9" s="19" t="e">
        <v>#N/A</v>
      </c>
      <c r="G9" s="20"/>
      <c r="H9" s="19"/>
      <c r="I9" s="19"/>
      <c r="J9" s="20">
        <v>27</v>
      </c>
      <c r="K9" s="55">
        <f t="shared" si="0"/>
        <v>1229.7707407407515</v>
      </c>
      <c r="L9" s="39">
        <v>33203.810000000289</v>
      </c>
      <c r="M9" s="20" t="e">
        <f t="shared" si="1"/>
        <v>#N/A</v>
      </c>
      <c r="N9" s="21" t="e">
        <f t="shared" si="2"/>
        <v>#N/A</v>
      </c>
      <c r="O9" s="20">
        <v>11</v>
      </c>
      <c r="P9" s="55">
        <f t="shared" si="3"/>
        <v>900.2372727273455</v>
      </c>
      <c r="Q9" s="39">
        <v>9902.6100000008009</v>
      </c>
      <c r="R9" s="40">
        <f>J9-O9</f>
        <v>16</v>
      </c>
      <c r="S9" s="39">
        <f t="shared" ref="S9:S12" si="5">L9-Q9</f>
        <v>23301.199999999488</v>
      </c>
      <c r="T9" s="6"/>
      <c r="U9" s="6" t="s">
        <v>504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396" t="s">
        <v>284</v>
      </c>
      <c r="B10" s="7" t="s">
        <v>0</v>
      </c>
      <c r="C10" s="26" t="s">
        <v>19</v>
      </c>
      <c r="D10" s="19" t="e">
        <v>#N/A</v>
      </c>
      <c r="E10" s="19" t="e">
        <f t="shared" si="4"/>
        <v>#N/A</v>
      </c>
      <c r="F10" s="19" t="e">
        <v>#N/A</v>
      </c>
      <c r="G10" s="20"/>
      <c r="H10" s="19"/>
      <c r="I10" s="19"/>
      <c r="J10" s="20">
        <v>0</v>
      </c>
      <c r="K10" s="55">
        <f t="shared" si="0"/>
        <v>0</v>
      </c>
      <c r="L10" s="39">
        <v>0</v>
      </c>
      <c r="M10" s="20" t="e">
        <f t="shared" si="1"/>
        <v>#N/A</v>
      </c>
      <c r="N10" s="21" t="e">
        <f t="shared" si="2"/>
        <v>#N/A</v>
      </c>
      <c r="O10" s="20">
        <v>0</v>
      </c>
      <c r="P10" s="55">
        <f t="shared" si="3"/>
        <v>0</v>
      </c>
      <c r="Q10" s="39">
        <v>0</v>
      </c>
      <c r="R10" s="124">
        <f t="shared" ref="R10:R12" si="6">J10-O10</f>
        <v>0</v>
      </c>
      <c r="S10" s="39">
        <f t="shared" si="5"/>
        <v>0</v>
      </c>
      <c r="T10" s="6"/>
      <c r="U10" s="6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396" t="s">
        <v>284</v>
      </c>
      <c r="B11" s="7" t="s">
        <v>0</v>
      </c>
      <c r="C11" s="26" t="s">
        <v>19</v>
      </c>
      <c r="D11" s="19" t="e">
        <v>#N/A</v>
      </c>
      <c r="E11" s="19" t="e">
        <f t="shared" si="4"/>
        <v>#N/A</v>
      </c>
      <c r="F11" s="19" t="e">
        <v>#N/A</v>
      </c>
      <c r="G11" s="20"/>
      <c r="H11" s="19"/>
      <c r="I11" s="19"/>
      <c r="J11" s="20">
        <v>0</v>
      </c>
      <c r="K11" s="55">
        <f t="shared" si="0"/>
        <v>0</v>
      </c>
      <c r="L11" s="39">
        <v>0</v>
      </c>
      <c r="M11" s="20" t="e">
        <f t="shared" si="1"/>
        <v>#N/A</v>
      </c>
      <c r="N11" s="21" t="e">
        <f t="shared" si="2"/>
        <v>#N/A</v>
      </c>
      <c r="O11" s="20">
        <v>0</v>
      </c>
      <c r="P11" s="55">
        <f t="shared" si="3"/>
        <v>0</v>
      </c>
      <c r="Q11" s="39">
        <v>0</v>
      </c>
      <c r="R11" s="20">
        <f t="shared" si="6"/>
        <v>0</v>
      </c>
      <c r="S11" s="39">
        <f t="shared" si="5"/>
        <v>0</v>
      </c>
      <c r="T11" s="6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396" t="s">
        <v>284</v>
      </c>
      <c r="B12" s="7" t="s">
        <v>0</v>
      </c>
      <c r="C12" s="26" t="s">
        <v>19</v>
      </c>
      <c r="D12" s="19" t="e">
        <v>#N/A</v>
      </c>
      <c r="E12" s="19" t="e">
        <f t="shared" si="4"/>
        <v>#N/A</v>
      </c>
      <c r="F12" s="19" t="e">
        <v>#N/A</v>
      </c>
      <c r="G12" s="20"/>
      <c r="H12" s="19"/>
      <c r="I12" s="19"/>
      <c r="J12" s="20">
        <v>0</v>
      </c>
      <c r="K12" s="55">
        <f t="shared" si="0"/>
        <v>0</v>
      </c>
      <c r="L12" s="39">
        <v>0</v>
      </c>
      <c r="M12" s="20" t="e">
        <f t="shared" si="1"/>
        <v>#N/A</v>
      </c>
      <c r="N12" s="21" t="e">
        <f t="shared" si="2"/>
        <v>#N/A</v>
      </c>
      <c r="O12" s="20">
        <v>0</v>
      </c>
      <c r="P12" s="55">
        <f t="shared" si="3"/>
        <v>0</v>
      </c>
      <c r="Q12" s="39">
        <v>0</v>
      </c>
      <c r="R12" s="20">
        <f t="shared" si="6"/>
        <v>0</v>
      </c>
      <c r="S12" s="39">
        <f t="shared" si="5"/>
        <v>0</v>
      </c>
      <c r="T12" s="6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396" t="s">
        <v>285</v>
      </c>
      <c r="B13" s="7" t="s">
        <v>0</v>
      </c>
      <c r="C13" s="289" t="s">
        <v>20</v>
      </c>
      <c r="D13" s="22" t="e">
        <f>+SUM(D6:D12)</f>
        <v>#N/A</v>
      </c>
      <c r="E13" s="22" t="e">
        <f>IF(D13&lt;=0,0,F13/D13)</f>
        <v>#N/A</v>
      </c>
      <c r="F13" s="23" t="e">
        <f>+SUM(F6:F12)</f>
        <v>#N/A</v>
      </c>
      <c r="G13" s="24"/>
      <c r="H13" s="22"/>
      <c r="I13" s="23"/>
      <c r="J13" s="24">
        <f>+SUM(J6:J12)</f>
        <v>53</v>
      </c>
      <c r="K13" s="122">
        <f>IF(J13&lt;=0,0,L13/J13)</f>
        <v>1851.7266037735944</v>
      </c>
      <c r="L13" s="123">
        <f>+SUM(L6:L12)</f>
        <v>98141.510000000504</v>
      </c>
      <c r="M13" s="24" t="e">
        <f>+SUM(M6:M12)</f>
        <v>#N/A</v>
      </c>
      <c r="N13" s="23" t="e">
        <f>+SUM(N6:N12)</f>
        <v>#N/A</v>
      </c>
      <c r="O13" s="24">
        <f>+SUM(O6:O12)</f>
        <v>80</v>
      </c>
      <c r="P13" s="122">
        <f>IF(O13&lt;=0,0,Q13/O13)</f>
        <v>2476.9122500000049</v>
      </c>
      <c r="Q13" s="123">
        <f>+SUM(Q6:Q12)</f>
        <v>198152.98000000039</v>
      </c>
      <c r="R13" s="124">
        <f>+SUM(R6:R12)</f>
        <v>-27</v>
      </c>
      <c r="S13" s="123">
        <f>+SUM(S6:S12)</f>
        <v>-100011.46999999988</v>
      </c>
      <c r="T13" s="6">
        <v>53</v>
      </c>
      <c r="U13" s="397">
        <v>98142</v>
      </c>
      <c r="V13" s="398">
        <f>L13-U13</f>
        <v>-0.48999999949592166</v>
      </c>
      <c r="W13" s="7"/>
      <c r="X13" s="7"/>
      <c r="Y13" s="7"/>
      <c r="Z13" s="7"/>
      <c r="AA13" s="7"/>
      <c r="AB13" s="7"/>
      <c r="AC13" s="7"/>
      <c r="AD13" s="55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396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 t="e">
        <f>IF(D13=0,0,M13/D13)</f>
        <v>#N/A</v>
      </c>
      <c r="N14" s="292" t="e">
        <f>IF(F13=0,0,N13/F13)</f>
        <v>#N/A</v>
      </c>
      <c r="O14" s="52"/>
      <c r="P14" s="74"/>
      <c r="Q14" s="112"/>
      <c r="R14" s="291">
        <f>R13/O13</f>
        <v>-0.33750000000000002</v>
      </c>
      <c r="S14" s="28">
        <f>IF(Q13=0,0,(S13/Q13))</f>
        <v>-0.50471847559395622</v>
      </c>
      <c r="T14" s="6"/>
      <c r="U14" s="397"/>
      <c r="V14" s="398"/>
      <c r="W14" s="19"/>
      <c r="X14" s="1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396" t="s">
        <v>286</v>
      </c>
      <c r="B15" s="7" t="s">
        <v>0</v>
      </c>
      <c r="C15" s="113" t="s">
        <v>21</v>
      </c>
      <c r="D15" s="33" t="e">
        <v>#N/A</v>
      </c>
      <c r="E15" s="33" t="e">
        <f>IF(D15=0,0,F15/D15)</f>
        <v>#N/A</v>
      </c>
      <c r="F15" s="90" t="e">
        <v>#N/A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 t="e">
        <f>J15-D15</f>
        <v>#N/A</v>
      </c>
      <c r="N15" s="31" t="e">
        <f>L15-F15</f>
        <v>#N/A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6"/>
      <c r="U15" s="399"/>
      <c r="V15" s="398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396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6"/>
      <c r="U16" s="397"/>
      <c r="V16" s="398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396" t="s">
        <v>287</v>
      </c>
      <c r="B17" s="7" t="s">
        <v>0</v>
      </c>
      <c r="C17" s="52" t="s">
        <v>22</v>
      </c>
      <c r="D17" s="290" t="e">
        <v>#N/A</v>
      </c>
      <c r="E17" s="290" t="e">
        <f>IF(D17=0,0,F17/D17)</f>
        <v>#N/A</v>
      </c>
      <c r="F17" s="290" t="e">
        <v>#N/A</v>
      </c>
      <c r="G17" s="38"/>
      <c r="H17" s="290"/>
      <c r="I17" s="290"/>
      <c r="J17" s="34">
        <v>34</v>
      </c>
      <c r="K17" s="55">
        <f>IF(J17=0,0,L17/J17)</f>
        <v>587.26382352937674</v>
      </c>
      <c r="L17" s="39">
        <v>19966.969999998808</v>
      </c>
      <c r="M17" s="34" t="e">
        <f>J17-D17</f>
        <v>#N/A</v>
      </c>
      <c r="N17" s="21" t="e">
        <f>L17-F17</f>
        <v>#N/A</v>
      </c>
      <c r="O17" s="34">
        <v>54</v>
      </c>
      <c r="P17" s="55">
        <f>IF(O17=0,0,Q17/O17)</f>
        <v>617.89629629613069</v>
      </c>
      <c r="Q17" s="39">
        <v>33366.399999991059</v>
      </c>
      <c r="R17" s="40">
        <f>J17-O17</f>
        <v>-20</v>
      </c>
      <c r="S17" s="39">
        <f>L17-Q17</f>
        <v>-13399.429999992251</v>
      </c>
      <c r="T17" s="6">
        <v>34</v>
      </c>
      <c r="U17" s="397">
        <v>18817</v>
      </c>
      <c r="V17" s="398">
        <f>L17-U17</f>
        <v>1149.9699999988079</v>
      </c>
      <c r="W17" s="7"/>
      <c r="X17" s="7"/>
      <c r="Y17" s="7"/>
      <c r="Z17" s="7"/>
      <c r="AA17" s="19"/>
      <c r="AB17" s="7"/>
      <c r="AC17" s="7"/>
      <c r="AD17" s="55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396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6"/>
      <c r="U18" s="397"/>
      <c r="V18" s="400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396" t="s">
        <v>288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6"/>
      <c r="U19" s="399"/>
      <c r="V19" s="400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396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6"/>
      <c r="U20" s="397"/>
      <c r="V20" s="400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396" t="s">
        <v>289</v>
      </c>
      <c r="B21" s="7" t="s">
        <v>0</v>
      </c>
      <c r="C21" s="26" t="s">
        <v>24</v>
      </c>
      <c r="D21" s="19" t="e">
        <v>#N/A</v>
      </c>
      <c r="E21" s="19" t="e">
        <f>IF(D21=0,0,F21/D21)</f>
        <v>#N/A</v>
      </c>
      <c r="F21" s="19" t="e">
        <v>#N/A</v>
      </c>
      <c r="G21" s="20"/>
      <c r="H21" s="19"/>
      <c r="I21" s="19"/>
      <c r="J21" s="20"/>
      <c r="K21" s="55">
        <f>IF(J13=0,0,L21/(J13+J15))</f>
        <v>0</v>
      </c>
      <c r="L21" s="39">
        <v>0</v>
      </c>
      <c r="M21" s="20"/>
      <c r="N21" s="21" t="e">
        <f>L21-F21</f>
        <v>#N/A</v>
      </c>
      <c r="O21" s="20"/>
      <c r="P21" s="55">
        <f>IF(O13=0,0,Q21/(O13+O15))</f>
        <v>1.3224999999999909</v>
      </c>
      <c r="Q21" s="39">
        <v>105.79999999999927</v>
      </c>
      <c r="R21" s="40">
        <f>P21-K21</f>
        <v>1.3224999999999909</v>
      </c>
      <c r="S21" s="39">
        <f t="shared" ref="S21:S23" si="7">L21-Q21</f>
        <v>-105.79999999999927</v>
      </c>
      <c r="T21" s="6"/>
      <c r="U21" s="397"/>
      <c r="V21" s="400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396" t="s">
        <v>290</v>
      </c>
      <c r="B22" s="7" t="s">
        <v>0</v>
      </c>
      <c r="C22" s="26" t="s">
        <v>25</v>
      </c>
      <c r="D22" s="19" t="e">
        <v>#N/A</v>
      </c>
      <c r="E22" s="19" t="e">
        <f>IF(D22=0,0,F22/D22)</f>
        <v>#N/A</v>
      </c>
      <c r="F22" s="19" t="e">
        <v>#N/A</v>
      </c>
      <c r="G22" s="20"/>
      <c r="H22" s="19"/>
      <c r="I22" s="19"/>
      <c r="J22" s="20"/>
      <c r="K22" s="55">
        <f>IF(J13=0,0,L22/(J13+J15))</f>
        <v>538.27320754717005</v>
      </c>
      <c r="L22" s="39">
        <v>28528.48000000001</v>
      </c>
      <c r="M22" s="20"/>
      <c r="N22" s="21" t="e">
        <f>L22-F22</f>
        <v>#N/A</v>
      </c>
      <c r="O22" s="20"/>
      <c r="P22" s="55">
        <f>IF(O13=0,0,Q22/(O13+O15))</f>
        <v>752.63387500000044</v>
      </c>
      <c r="Q22" s="39">
        <v>60210.710000000036</v>
      </c>
      <c r="R22" s="40">
        <f t="shared" ref="R22:R23" si="8">P22-K22</f>
        <v>214.3606674528304</v>
      </c>
      <c r="S22" s="39">
        <f t="shared" si="7"/>
        <v>-31682.230000000025</v>
      </c>
      <c r="T22" s="6"/>
      <c r="U22" s="397"/>
      <c r="V22" s="398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396" t="s">
        <v>291</v>
      </c>
      <c r="B23" s="7" t="s">
        <v>0</v>
      </c>
      <c r="C23" s="26" t="s">
        <v>26</v>
      </c>
      <c r="D23" s="19" t="e">
        <v>#N/A</v>
      </c>
      <c r="E23" s="19" t="e">
        <f>IF(D23=0,0,F23/D23)</f>
        <v>#N/A</v>
      </c>
      <c r="F23" s="19" t="e">
        <v>#N/A</v>
      </c>
      <c r="G23" s="20"/>
      <c r="H23" s="19"/>
      <c r="I23" s="19"/>
      <c r="J23" s="20"/>
      <c r="K23" s="55">
        <f>IF(J13=0,0,L23/(J13+J15))</f>
        <v>-21.713396226415103</v>
      </c>
      <c r="L23" s="39">
        <v>-1150.8100000000004</v>
      </c>
      <c r="M23" s="34"/>
      <c r="N23" s="21" t="e">
        <f>L23-F23</f>
        <v>#N/A</v>
      </c>
      <c r="O23" s="20"/>
      <c r="P23" s="55">
        <f>IF(O13=0,0,Q23/(O13+O15))</f>
        <v>180.25050000000002</v>
      </c>
      <c r="Q23" s="39">
        <v>14420.04</v>
      </c>
      <c r="R23" s="40">
        <f t="shared" si="8"/>
        <v>201.96389622641513</v>
      </c>
      <c r="S23" s="39">
        <f t="shared" si="7"/>
        <v>-15570.850000000002</v>
      </c>
      <c r="T23" s="6"/>
      <c r="U23" s="397"/>
      <c r="V23" s="398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396" t="s">
        <v>292</v>
      </c>
      <c r="B24" s="7" t="s">
        <v>0</v>
      </c>
      <c r="C24" s="289" t="s">
        <v>27</v>
      </c>
      <c r="D24" s="22" t="e">
        <f>+D15+D13</f>
        <v>#N/A</v>
      </c>
      <c r="E24" s="22" t="e">
        <f>IF(D24&lt;=0,0,F24/D24)</f>
        <v>#N/A</v>
      </c>
      <c r="F24" s="23" t="e">
        <f>F21+F22+F23</f>
        <v>#N/A</v>
      </c>
      <c r="G24" s="24"/>
      <c r="H24" s="22"/>
      <c r="I24" s="23"/>
      <c r="J24" s="24">
        <f>+J15+J13</f>
        <v>53</v>
      </c>
      <c r="K24" s="122">
        <f>IF(J24&lt;=0,0,L24/J24)</f>
        <v>516.55981132075487</v>
      </c>
      <c r="L24" s="123">
        <f>L21+L22+L23</f>
        <v>27377.670000000009</v>
      </c>
      <c r="M24" s="38" t="e">
        <f>J24-D24</f>
        <v>#N/A</v>
      </c>
      <c r="N24" s="23" t="e">
        <f>L24-F24</f>
        <v>#N/A</v>
      </c>
      <c r="O24" s="24">
        <f>+O15+O13</f>
        <v>80</v>
      </c>
      <c r="P24" s="122">
        <f>IF(O24&lt;=0,0,Q24/O24)</f>
        <v>934.20687500000054</v>
      </c>
      <c r="Q24" s="123">
        <f>Q21+Q22+Q23</f>
        <v>74736.550000000047</v>
      </c>
      <c r="R24" s="106">
        <f>P24-K24</f>
        <v>417.64706367924566</v>
      </c>
      <c r="S24" s="123">
        <f>L24-Q24</f>
        <v>-47358.880000000034</v>
      </c>
      <c r="T24" s="6"/>
      <c r="U24" s="397">
        <v>27378</v>
      </c>
      <c r="V24" s="398">
        <f>L24-U24</f>
        <v>-0.32999999999083229</v>
      </c>
      <c r="W24" s="7"/>
      <c r="X24" s="7"/>
      <c r="Y24" s="7"/>
      <c r="Z24" s="7"/>
      <c r="AA24" s="7"/>
      <c r="AB24" s="7"/>
      <c r="AC24" s="7"/>
      <c r="AD24" s="55"/>
      <c r="AE24" s="55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396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#N/A</v>
      </c>
      <c r="O25" s="26"/>
      <c r="P25" s="55"/>
      <c r="Q25" s="39"/>
      <c r="R25" s="40"/>
      <c r="S25" s="28">
        <f>IF(Q24=0,0,(S24/Q24))</f>
        <v>-0.63367763162736312</v>
      </c>
      <c r="T25" s="6"/>
      <c r="U25" s="397"/>
      <c r="V25" s="398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396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6"/>
      <c r="U26" s="397"/>
      <c r="V26" s="398"/>
      <c r="W26" s="7"/>
      <c r="X26" s="7"/>
      <c r="Y26" s="7"/>
      <c r="Z26" s="7"/>
      <c r="AA26" s="7"/>
      <c r="AB26" s="7"/>
      <c r="AC26" s="7"/>
      <c r="AD26" s="55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396" t="s">
        <v>293</v>
      </c>
      <c r="B27" s="7" t="s">
        <v>0</v>
      </c>
      <c r="C27" s="264" t="s">
        <v>28</v>
      </c>
      <c r="D27" s="41" t="e">
        <f>+D13+D15+D17</f>
        <v>#N/A</v>
      </c>
      <c r="E27" s="42" t="e">
        <f>IF(D27&lt;=0,0,F27/D27)</f>
        <v>#N/A</v>
      </c>
      <c r="F27" s="43" t="e">
        <f>F13+F17+F24+F19+F15</f>
        <v>#N/A</v>
      </c>
      <c r="G27" s="44"/>
      <c r="H27" s="42"/>
      <c r="I27" s="43"/>
      <c r="J27" s="44">
        <f>+J13+J15+J17</f>
        <v>87</v>
      </c>
      <c r="K27" s="41">
        <f>IF(J27&lt;=0,0,L27/J27)</f>
        <v>1672.2545977011416</v>
      </c>
      <c r="L27" s="43">
        <f>L13+L17+L24+L19+L15</f>
        <v>145486.14999999932</v>
      </c>
      <c r="M27" s="44" t="e">
        <f>J27-D27</f>
        <v>#N/A</v>
      </c>
      <c r="N27" s="43" t="e">
        <f>L27-F27</f>
        <v>#N/A</v>
      </c>
      <c r="O27" s="44">
        <f>+O13+O15+O17</f>
        <v>134</v>
      </c>
      <c r="P27" s="41">
        <f>IF(O27&lt;=0,0,Q27/O27)</f>
        <v>2285.4920149253098</v>
      </c>
      <c r="Q27" s="43">
        <f>Q13+Q17+Q24+Q19+Q15</f>
        <v>306255.92999999149</v>
      </c>
      <c r="R27" s="44">
        <f>J27-O27</f>
        <v>-47</v>
      </c>
      <c r="S27" s="43">
        <f>L27-Q27</f>
        <v>-160769.77999999217</v>
      </c>
      <c r="T27" s="6"/>
      <c r="U27" s="397">
        <f>SUM(U13:U26)</f>
        <v>144337</v>
      </c>
      <c r="V27" s="398">
        <f>L27-U27</f>
        <v>1149.1499999993248</v>
      </c>
      <c r="W27" s="7"/>
      <c r="X27" s="7"/>
      <c r="Y27" s="7"/>
      <c r="Z27" s="7"/>
      <c r="AA27" s="7"/>
      <c r="AB27" s="7"/>
      <c r="AC27" s="7"/>
      <c r="AD27" s="55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396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>
        <f>R27/O27</f>
        <v>-0.35074626865671643</v>
      </c>
      <c r="S28" s="267">
        <f>IF(Q27=0,0,S27/Q27)</f>
        <v>-0.52495238214651596</v>
      </c>
      <c r="T28" s="6"/>
      <c r="U28" s="6"/>
      <c r="V28" s="401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396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6"/>
      <c r="U29" s="9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396" t="s">
        <v>294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6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20.25">
      <c r="A31" s="396" t="s">
        <v>295</v>
      </c>
      <c r="B31" s="7" t="s">
        <v>0</v>
      </c>
      <c r="C31" s="26" t="s">
        <v>30</v>
      </c>
      <c r="D31" s="295" t="e">
        <f>F31/(F13+F15)</f>
        <v>#N/A</v>
      </c>
      <c r="E31" s="55" t="e">
        <f t="shared" ref="E31:E40" si="9">F31/D$24</f>
        <v>#N/A</v>
      </c>
      <c r="F31" s="19" t="e">
        <v>#N/A</v>
      </c>
      <c r="G31" s="99"/>
      <c r="H31" s="55"/>
      <c r="I31" s="19"/>
      <c r="J31" s="99">
        <f>L31/(L15+L13+L17)</f>
        <v>0.36190415794022751</v>
      </c>
      <c r="K31" s="55">
        <f>IF(L31=0,0,L31/J$24)</f>
        <v>806.4896226415085</v>
      </c>
      <c r="L31" s="39">
        <v>42743.949999999953</v>
      </c>
      <c r="M31" s="26"/>
      <c r="N31" s="39" t="e">
        <f t="shared" ref="N31:N53" si="10">L31-F31</f>
        <v>#N/A</v>
      </c>
      <c r="O31" s="99">
        <f>Q31/(Q15+Q13+Q17)</f>
        <v>0.22591201652320397</v>
      </c>
      <c r="P31" s="55">
        <f>IF(Q31=0,0,Q31/O$24)</f>
        <v>653.78762500000016</v>
      </c>
      <c r="Q31" s="39">
        <v>52303.010000000009</v>
      </c>
      <c r="R31" s="26"/>
      <c r="S31" s="39">
        <f>L31-Q31</f>
        <v>-9559.0600000000559</v>
      </c>
      <c r="T31" s="6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396" t="s">
        <v>296</v>
      </c>
      <c r="B32" s="7" t="s">
        <v>0</v>
      </c>
      <c r="C32" s="14" t="s">
        <v>31</v>
      </c>
      <c r="D32" s="296" t="e">
        <f>F32/F24</f>
        <v>#N/A</v>
      </c>
      <c r="E32" s="58" t="e">
        <f t="shared" si="9"/>
        <v>#N/A</v>
      </c>
      <c r="F32" s="31" t="e">
        <v>#N/A</v>
      </c>
      <c r="G32" s="104"/>
      <c r="H32" s="58"/>
      <c r="I32" s="31"/>
      <c r="J32" s="104">
        <f>L32/L24</f>
        <v>0.33094817783982322</v>
      </c>
      <c r="K32" s="58">
        <f t="shared" ref="K32:K40" si="11">IF(L32=0,0,L32/J$24)</f>
        <v>170.95452830188674</v>
      </c>
      <c r="L32" s="39">
        <v>9060.5899999999965</v>
      </c>
      <c r="M32" s="14"/>
      <c r="N32" s="61" t="e">
        <f t="shared" si="10"/>
        <v>#N/A</v>
      </c>
      <c r="O32" s="104">
        <f>Q32/Q24</f>
        <v>0.24125357673052852</v>
      </c>
      <c r="P32" s="58">
        <f t="shared" ref="P32:P40" si="12">IF(Q32=0,0,Q32/O$24)</f>
        <v>225.38074999999989</v>
      </c>
      <c r="Q32" s="61">
        <v>18030.459999999992</v>
      </c>
      <c r="R32" s="14"/>
      <c r="S32" s="61">
        <f t="shared" ref="S32:S53" si="13">L32-Q32</f>
        <v>-8969.8699999999953</v>
      </c>
      <c r="T32" s="6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396" t="s">
        <v>297</v>
      </c>
      <c r="B33" s="7" t="s">
        <v>0</v>
      </c>
      <c r="C33" s="26" t="s">
        <v>32</v>
      </c>
      <c r="D33" s="54"/>
      <c r="E33" s="55" t="e">
        <f t="shared" si="9"/>
        <v>#N/A</v>
      </c>
      <c r="F33" s="19" t="e">
        <v>#N/A</v>
      </c>
      <c r="G33" s="56"/>
      <c r="H33" s="55"/>
      <c r="I33" s="19"/>
      <c r="J33" s="26"/>
      <c r="K33" s="55">
        <f t="shared" si="11"/>
        <v>-63.6369811320751</v>
      </c>
      <c r="L33" s="297">
        <v>-3372.7599999999802</v>
      </c>
      <c r="M33" s="26"/>
      <c r="N33" s="39" t="e">
        <f t="shared" si="10"/>
        <v>#N/A</v>
      </c>
      <c r="O33" s="26"/>
      <c r="P33" s="55">
        <f t="shared" si="12"/>
        <v>-114.10925000000002</v>
      </c>
      <c r="Q33" s="39">
        <v>-9128.7400000000016</v>
      </c>
      <c r="R33" s="26"/>
      <c r="S33" s="39">
        <f t="shared" si="13"/>
        <v>5755.9800000000214</v>
      </c>
      <c r="T33" s="6">
        <f>-3973+600</f>
        <v>-3373</v>
      </c>
      <c r="U33" s="384" t="s">
        <v>510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396" t="s">
        <v>298</v>
      </c>
      <c r="B34" s="7" t="s">
        <v>0</v>
      </c>
      <c r="C34" s="26" t="s">
        <v>33</v>
      </c>
      <c r="D34" s="54"/>
      <c r="E34" s="55" t="e">
        <f t="shared" si="9"/>
        <v>#N/A</v>
      </c>
      <c r="F34" s="19" t="e">
        <v>#N/A</v>
      </c>
      <c r="G34" s="56"/>
      <c r="H34" s="55"/>
      <c r="I34" s="19"/>
      <c r="J34" s="26"/>
      <c r="K34" s="55">
        <f t="shared" si="11"/>
        <v>0</v>
      </c>
      <c r="L34" s="39">
        <v>0</v>
      </c>
      <c r="M34" s="26"/>
      <c r="N34" s="39" t="e">
        <f t="shared" si="10"/>
        <v>#N/A</v>
      </c>
      <c r="O34" s="26"/>
      <c r="P34" s="55">
        <f t="shared" si="12"/>
        <v>7.7193749999999968</v>
      </c>
      <c r="Q34" s="39">
        <v>617.54999999999973</v>
      </c>
      <c r="R34" s="26"/>
      <c r="S34" s="39">
        <f t="shared" si="13"/>
        <v>-617.54999999999973</v>
      </c>
      <c r="T34" s="6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396" t="s">
        <v>299</v>
      </c>
      <c r="B35" s="7" t="s">
        <v>0</v>
      </c>
      <c r="C35" s="14" t="s">
        <v>34</v>
      </c>
      <c r="D35" s="57"/>
      <c r="E35" s="58" t="e">
        <f t="shared" si="9"/>
        <v>#N/A</v>
      </c>
      <c r="F35" s="31" t="e">
        <v>#N/A</v>
      </c>
      <c r="G35" s="59"/>
      <c r="H35" s="58"/>
      <c r="I35" s="31"/>
      <c r="J35" s="14"/>
      <c r="K35" s="58">
        <f t="shared" si="11"/>
        <v>54.977924528301884</v>
      </c>
      <c r="L35" s="39">
        <v>2913.83</v>
      </c>
      <c r="M35" s="14"/>
      <c r="N35" s="61" t="e">
        <f t="shared" si="10"/>
        <v>#N/A</v>
      </c>
      <c r="O35" s="14"/>
      <c r="P35" s="58">
        <f t="shared" si="12"/>
        <v>0</v>
      </c>
      <c r="Q35" s="61">
        <v>0</v>
      </c>
      <c r="R35" s="14"/>
      <c r="S35" s="61">
        <f t="shared" si="13"/>
        <v>2913.83</v>
      </c>
      <c r="T35" s="6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396" t="s">
        <v>300</v>
      </c>
      <c r="B36" s="7" t="s">
        <v>0</v>
      </c>
      <c r="C36" s="26" t="s">
        <v>35</v>
      </c>
      <c r="D36" s="54"/>
      <c r="E36" s="55" t="e">
        <f t="shared" si="9"/>
        <v>#N/A</v>
      </c>
      <c r="F36" s="19" t="e">
        <v>#N/A</v>
      </c>
      <c r="G36" s="56"/>
      <c r="H36" s="55"/>
      <c r="I36" s="19"/>
      <c r="J36" s="26"/>
      <c r="K36" s="55">
        <f t="shared" si="11"/>
        <v>241.13075471698116</v>
      </c>
      <c r="L36" s="297">
        <v>12779.930000000002</v>
      </c>
      <c r="M36" s="26"/>
      <c r="N36" s="39" t="e">
        <f t="shared" si="10"/>
        <v>#N/A</v>
      </c>
      <c r="O36" s="26"/>
      <c r="P36" s="55">
        <f t="shared" si="12"/>
        <v>184.15987500000006</v>
      </c>
      <c r="Q36" s="39">
        <v>14732.790000000005</v>
      </c>
      <c r="R36" s="26"/>
      <c r="S36" s="39">
        <f t="shared" si="13"/>
        <v>-1952.8600000000024</v>
      </c>
      <c r="T36" s="6"/>
      <c r="U36" s="391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396" t="s">
        <v>301</v>
      </c>
      <c r="B37" s="7" t="s">
        <v>0</v>
      </c>
      <c r="C37" s="26" t="s">
        <v>36</v>
      </c>
      <c r="D37" s="54"/>
      <c r="E37" s="55" t="e">
        <f t="shared" si="9"/>
        <v>#N/A</v>
      </c>
      <c r="F37" s="19" t="e">
        <v>#N/A</v>
      </c>
      <c r="G37" s="56"/>
      <c r="H37" s="55"/>
      <c r="I37" s="19"/>
      <c r="J37" s="26"/>
      <c r="K37" s="55">
        <f t="shared" si="11"/>
        <v>500.46660377358563</v>
      </c>
      <c r="L37" s="39">
        <v>26524.73000000004</v>
      </c>
      <c r="M37" s="26"/>
      <c r="N37" s="39" t="e">
        <f t="shared" si="10"/>
        <v>#N/A</v>
      </c>
      <c r="O37" s="26"/>
      <c r="P37" s="55">
        <f t="shared" si="12"/>
        <v>944.36874999999998</v>
      </c>
      <c r="Q37" s="39">
        <v>75549.5</v>
      </c>
      <c r="R37" s="26"/>
      <c r="S37" s="39">
        <f t="shared" si="13"/>
        <v>-49024.76999999996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396" t="s">
        <v>284</v>
      </c>
      <c r="B38" s="7" t="s">
        <v>0</v>
      </c>
      <c r="C38" s="26" t="s">
        <v>302</v>
      </c>
      <c r="D38" s="54"/>
      <c r="E38" s="55" t="e">
        <f t="shared" si="9"/>
        <v>#N/A</v>
      </c>
      <c r="F38" s="19" t="e">
        <v>#N/A</v>
      </c>
      <c r="G38" s="56"/>
      <c r="H38" s="55"/>
      <c r="I38" s="19"/>
      <c r="J38" s="26"/>
      <c r="K38" s="55">
        <f t="shared" si="11"/>
        <v>-1248.8064150943394</v>
      </c>
      <c r="L38" s="39">
        <v>-66186.739999999991</v>
      </c>
      <c r="M38" s="7"/>
      <c r="N38" s="39" t="e">
        <f t="shared" si="10"/>
        <v>#N/A</v>
      </c>
      <c r="O38" s="26"/>
      <c r="P38" s="55">
        <f t="shared" si="12"/>
        <v>-1344.5761249999982</v>
      </c>
      <c r="Q38" s="39">
        <v>-107566.08999999985</v>
      </c>
      <c r="R38" s="26"/>
      <c r="S38" s="39">
        <f t="shared" si="13"/>
        <v>41379.34999999986</v>
      </c>
      <c r="T38" s="6">
        <v>64032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396" t="s">
        <v>284</v>
      </c>
      <c r="B39" s="7" t="s">
        <v>0</v>
      </c>
      <c r="C39" s="26" t="s">
        <v>303</v>
      </c>
      <c r="D39" s="54"/>
      <c r="E39" s="55" t="e">
        <f t="shared" si="9"/>
        <v>#N/A</v>
      </c>
      <c r="F39" s="19" t="e">
        <v>#N/A</v>
      </c>
      <c r="G39" s="56"/>
      <c r="H39" s="55"/>
      <c r="I39" s="19"/>
      <c r="J39" s="26"/>
      <c r="K39" s="55">
        <f t="shared" si="11"/>
        <v>-194.33566037735864</v>
      </c>
      <c r="L39" s="39">
        <v>-10299.790000000008</v>
      </c>
      <c r="M39" s="7"/>
      <c r="N39" s="39" t="e">
        <f t="shared" si="10"/>
        <v>#N/A</v>
      </c>
      <c r="O39" s="26"/>
      <c r="P39" s="55">
        <f t="shared" si="12"/>
        <v>0</v>
      </c>
      <c r="Q39" s="39">
        <v>0</v>
      </c>
      <c r="R39" s="26"/>
      <c r="S39" s="39">
        <f t="shared" si="13"/>
        <v>-10299.790000000008</v>
      </c>
      <c r="T39" s="6">
        <v>-10300</v>
      </c>
      <c r="U39" s="402">
        <f>L39+L121+L194</f>
        <v>-13851.270000000006</v>
      </c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396" t="s">
        <v>284</v>
      </c>
      <c r="B40" s="7" t="s">
        <v>0</v>
      </c>
      <c r="C40" s="26" t="s">
        <v>19</v>
      </c>
      <c r="D40" s="54"/>
      <c r="E40" s="55" t="e">
        <f t="shared" si="9"/>
        <v>#N/A</v>
      </c>
      <c r="F40" s="19" t="e">
        <v>#N/A</v>
      </c>
      <c r="G40" s="56"/>
      <c r="H40" s="55"/>
      <c r="I40" s="19"/>
      <c r="J40" s="26"/>
      <c r="K40" s="55">
        <f t="shared" si="11"/>
        <v>0</v>
      </c>
      <c r="L40" s="299">
        <v>0</v>
      </c>
      <c r="M40" s="7"/>
      <c r="N40" s="39" t="e">
        <f t="shared" si="10"/>
        <v>#N/A</v>
      </c>
      <c r="O40" s="26"/>
      <c r="P40" s="55">
        <f t="shared" si="12"/>
        <v>0</v>
      </c>
      <c r="Q40" s="299">
        <v>0</v>
      </c>
      <c r="R40" s="26"/>
      <c r="S40" s="39">
        <f t="shared" si="13"/>
        <v>0</v>
      </c>
      <c r="T40" s="6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396" t="s">
        <v>304</v>
      </c>
      <c r="B41" s="7" t="s">
        <v>0</v>
      </c>
      <c r="C41" s="139" t="s">
        <v>37</v>
      </c>
      <c r="D41" s="62" t="s">
        <v>38</v>
      </c>
      <c r="E41" s="63" t="e">
        <f>F41/F$27</f>
        <v>#N/A</v>
      </c>
      <c r="F41" s="64" t="e">
        <f>SUM(F31:F40)</f>
        <v>#N/A</v>
      </c>
      <c r="G41" s="65"/>
      <c r="H41" s="63"/>
      <c r="I41" s="64"/>
      <c r="J41" s="65" t="s">
        <v>38</v>
      </c>
      <c r="K41" s="63">
        <f>L41/L$27</f>
        <v>9.7354559179688827E-2</v>
      </c>
      <c r="L41" s="64">
        <f>SUM(L31:L40)</f>
        <v>14163.74000000002</v>
      </c>
      <c r="M41" s="66"/>
      <c r="N41" s="64" t="e">
        <f t="shared" si="10"/>
        <v>#N/A</v>
      </c>
      <c r="O41" s="65" t="s">
        <v>38</v>
      </c>
      <c r="P41" s="63">
        <f>Q41/Q$27</f>
        <v>0.14542895544912843</v>
      </c>
      <c r="Q41" s="64">
        <f>SUM(Q31:Q40)</f>
        <v>44538.480000000156</v>
      </c>
      <c r="R41" s="67"/>
      <c r="S41" s="64">
        <f t="shared" si="13"/>
        <v>-30374.740000000136</v>
      </c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396" t="s">
        <v>305</v>
      </c>
      <c r="B42" s="7" t="s">
        <v>0</v>
      </c>
      <c r="C42" s="271" t="s">
        <v>40</v>
      </c>
      <c r="D42" s="7"/>
      <c r="E42" s="7"/>
      <c r="F42" s="19" t="e">
        <v>#N/A</v>
      </c>
      <c r="G42" s="26"/>
      <c r="H42" s="7"/>
      <c r="I42" s="19"/>
      <c r="J42" s="26"/>
      <c r="K42" s="7"/>
      <c r="L42" s="55">
        <v>6326.8799999999901</v>
      </c>
      <c r="M42" s="26"/>
      <c r="N42" s="39" t="e">
        <f t="shared" si="10"/>
        <v>#N/A</v>
      </c>
      <c r="O42" s="26"/>
      <c r="P42" s="7"/>
      <c r="Q42" s="55">
        <v>12759.149999999994</v>
      </c>
      <c r="R42" s="26"/>
      <c r="S42" s="39">
        <f t="shared" si="13"/>
        <v>-6432.2700000000041</v>
      </c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396" t="s">
        <v>306</v>
      </c>
      <c r="B43" s="7" t="s">
        <v>0</v>
      </c>
      <c r="C43" s="272" t="s">
        <v>41</v>
      </c>
      <c r="D43" s="54"/>
      <c r="E43" s="7"/>
      <c r="F43" s="31" t="e">
        <v>#N/A</v>
      </c>
      <c r="G43" s="56"/>
      <c r="H43" s="7"/>
      <c r="I43" s="31"/>
      <c r="J43" s="26"/>
      <c r="K43" s="7"/>
      <c r="L43" s="61">
        <v>8576.1900000000023</v>
      </c>
      <c r="M43" s="26"/>
      <c r="N43" s="39" t="e">
        <f t="shared" si="10"/>
        <v>#N/A</v>
      </c>
      <c r="O43" s="26"/>
      <c r="P43" s="7"/>
      <c r="Q43" s="61">
        <v>27510.700000000012</v>
      </c>
      <c r="R43" s="26"/>
      <c r="S43" s="39">
        <f t="shared" si="13"/>
        <v>-18934.510000000009</v>
      </c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396" t="s">
        <v>307</v>
      </c>
      <c r="B44" s="7" t="s">
        <v>0</v>
      </c>
      <c r="C44" s="271" t="s">
        <v>42</v>
      </c>
      <c r="D44" s="68"/>
      <c r="E44" s="69"/>
      <c r="F44" s="19" t="e">
        <v>#N/A</v>
      </c>
      <c r="G44" s="70"/>
      <c r="H44" s="69"/>
      <c r="I44" s="19"/>
      <c r="J44" s="71"/>
      <c r="K44" s="69"/>
      <c r="L44" s="55">
        <v>5167.5800000000017</v>
      </c>
      <c r="M44" s="71"/>
      <c r="N44" s="72" t="e">
        <f t="shared" si="10"/>
        <v>#N/A</v>
      </c>
      <c r="O44" s="71"/>
      <c r="P44" s="69"/>
      <c r="Q44" s="55">
        <v>5112.2000000000007</v>
      </c>
      <c r="R44" s="71"/>
      <c r="S44" s="72">
        <f t="shared" si="13"/>
        <v>55.380000000001019</v>
      </c>
      <c r="T44" s="6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396" t="s">
        <v>308</v>
      </c>
      <c r="B45" s="7" t="s">
        <v>0</v>
      </c>
      <c r="C45" s="271" t="s">
        <v>43</v>
      </c>
      <c r="D45" s="54"/>
      <c r="E45" s="7"/>
      <c r="F45" s="19" t="e">
        <v>#N/A</v>
      </c>
      <c r="G45" s="56"/>
      <c r="H45" s="7"/>
      <c r="I45" s="19"/>
      <c r="J45" s="26"/>
      <c r="K45" s="7"/>
      <c r="L45" s="55">
        <v>0</v>
      </c>
      <c r="M45" s="26"/>
      <c r="N45" s="39" t="e">
        <f t="shared" si="10"/>
        <v>#N/A</v>
      </c>
      <c r="O45" s="26"/>
      <c r="P45" s="7"/>
      <c r="Q45" s="55">
        <v>0</v>
      </c>
      <c r="R45" s="26"/>
      <c r="S45" s="39">
        <f t="shared" si="13"/>
        <v>0</v>
      </c>
      <c r="T45" s="6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396" t="s">
        <v>284</v>
      </c>
      <c r="B46" s="7" t="s">
        <v>0</v>
      </c>
      <c r="C46" s="271" t="s">
        <v>19</v>
      </c>
      <c r="D46" s="54"/>
      <c r="E46" s="7"/>
      <c r="F46" s="19" t="e">
        <v>#N/A</v>
      </c>
      <c r="G46" s="56"/>
      <c r="H46" s="7"/>
      <c r="I46" s="19"/>
      <c r="J46" s="26"/>
      <c r="K46" s="7"/>
      <c r="L46" s="55">
        <v>0</v>
      </c>
      <c r="M46" s="26"/>
      <c r="N46" s="39" t="e">
        <f t="shared" si="10"/>
        <v>#N/A</v>
      </c>
      <c r="O46" s="26"/>
      <c r="P46" s="7"/>
      <c r="Q46" s="55">
        <v>0</v>
      </c>
      <c r="R46" s="26"/>
      <c r="S46" s="39">
        <f t="shared" si="13"/>
        <v>0</v>
      </c>
      <c r="T46" s="6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396" t="s">
        <v>284</v>
      </c>
      <c r="B47" s="7" t="s">
        <v>0</v>
      </c>
      <c r="C47" s="271" t="s">
        <v>19</v>
      </c>
      <c r="D47" s="54"/>
      <c r="E47" s="7"/>
      <c r="F47" s="19" t="e">
        <v>#N/A</v>
      </c>
      <c r="G47" s="56"/>
      <c r="H47" s="7"/>
      <c r="I47" s="19"/>
      <c r="J47" s="26"/>
      <c r="K47" s="7"/>
      <c r="L47" s="55">
        <v>0</v>
      </c>
      <c r="M47" s="26"/>
      <c r="N47" s="39" t="e">
        <f t="shared" si="10"/>
        <v>#N/A</v>
      </c>
      <c r="O47" s="26"/>
      <c r="P47" s="7"/>
      <c r="Q47" s="55">
        <v>0</v>
      </c>
      <c r="R47" s="26"/>
      <c r="S47" s="39">
        <f t="shared" si="13"/>
        <v>0</v>
      </c>
      <c r="T47" s="6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396" t="s">
        <v>284</v>
      </c>
      <c r="B48" s="7" t="s">
        <v>0</v>
      </c>
      <c r="C48" s="271" t="s">
        <v>19</v>
      </c>
      <c r="D48" s="54"/>
      <c r="E48" s="7"/>
      <c r="F48" s="19" t="e">
        <v>#N/A</v>
      </c>
      <c r="G48" s="56"/>
      <c r="H48" s="7"/>
      <c r="I48" s="19"/>
      <c r="J48" s="26"/>
      <c r="K48" s="7"/>
      <c r="L48" s="55">
        <v>0</v>
      </c>
      <c r="M48" s="26"/>
      <c r="N48" s="39" t="e">
        <f t="shared" si="10"/>
        <v>#N/A</v>
      </c>
      <c r="O48" s="26"/>
      <c r="P48" s="7"/>
      <c r="Q48" s="55">
        <v>0</v>
      </c>
      <c r="R48" s="26"/>
      <c r="S48" s="39">
        <f t="shared" si="13"/>
        <v>0</v>
      </c>
      <c r="T48" s="6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396" t="s">
        <v>309</v>
      </c>
      <c r="B49" s="7" t="s">
        <v>0</v>
      </c>
      <c r="C49" s="272" t="s">
        <v>44</v>
      </c>
      <c r="D49" s="54"/>
      <c r="E49" s="7"/>
      <c r="F49" s="31" t="e">
        <v>#N/A</v>
      </c>
      <c r="G49" s="56"/>
      <c r="H49" s="7"/>
      <c r="I49" s="31"/>
      <c r="J49" s="26"/>
      <c r="K49" s="7"/>
      <c r="L49" s="61">
        <v>4857.2099999999991</v>
      </c>
      <c r="M49" s="26"/>
      <c r="N49" s="39" t="e">
        <f t="shared" si="10"/>
        <v>#N/A</v>
      </c>
      <c r="O49" s="26"/>
      <c r="P49" s="7"/>
      <c r="Q49" s="61">
        <v>6372</v>
      </c>
      <c r="R49" s="26"/>
      <c r="S49" s="39">
        <f t="shared" si="13"/>
        <v>-1514.7900000000009</v>
      </c>
      <c r="T49" s="6"/>
      <c r="U49" s="6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396" t="s">
        <v>310</v>
      </c>
      <c r="B50" s="7" t="s">
        <v>0</v>
      </c>
      <c r="C50" s="271" t="s">
        <v>45</v>
      </c>
      <c r="D50" s="68"/>
      <c r="E50" s="69"/>
      <c r="F50" s="19" t="e">
        <v>#N/A</v>
      </c>
      <c r="G50" s="70"/>
      <c r="H50" s="69"/>
      <c r="I50" s="19"/>
      <c r="J50" s="71"/>
      <c r="K50" s="69"/>
      <c r="L50" s="55">
        <v>9070.929999999993</v>
      </c>
      <c r="M50" s="71"/>
      <c r="N50" s="72" t="e">
        <f t="shared" si="10"/>
        <v>#N/A</v>
      </c>
      <c r="O50" s="71"/>
      <c r="P50" s="69"/>
      <c r="Q50" s="55">
        <v>14274.209999999992</v>
      </c>
      <c r="R50" s="71"/>
      <c r="S50" s="72">
        <f t="shared" si="13"/>
        <v>-5203.2799999999988</v>
      </c>
      <c r="T50" s="6"/>
      <c r="U50" s="6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396" t="s">
        <v>311</v>
      </c>
      <c r="B51" s="7" t="s">
        <v>0</v>
      </c>
      <c r="C51" s="271" t="s">
        <v>46</v>
      </c>
      <c r="D51" s="54"/>
      <c r="E51" s="7"/>
      <c r="F51" s="19" t="e">
        <v>#N/A</v>
      </c>
      <c r="G51" s="56"/>
      <c r="H51" s="7"/>
      <c r="I51" s="19"/>
      <c r="J51" s="26"/>
      <c r="K51" s="7"/>
      <c r="L51" s="55">
        <v>1221.5200000000004</v>
      </c>
      <c r="M51" s="26"/>
      <c r="N51" s="39" t="e">
        <f t="shared" si="10"/>
        <v>#N/A</v>
      </c>
      <c r="O51" s="26"/>
      <c r="P51" s="7"/>
      <c r="Q51" s="55">
        <v>4465.4700000000012</v>
      </c>
      <c r="R51" s="26"/>
      <c r="S51" s="39">
        <f t="shared" si="13"/>
        <v>-3243.9500000000007</v>
      </c>
      <c r="T51" s="6"/>
      <c r="U51" s="6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396" t="s">
        <v>312</v>
      </c>
      <c r="B52" s="7" t="s">
        <v>0</v>
      </c>
      <c r="C52" s="271" t="s">
        <v>47</v>
      </c>
      <c r="D52" s="54"/>
      <c r="E52" s="7"/>
      <c r="F52" s="19" t="e">
        <v>#N/A</v>
      </c>
      <c r="G52" s="56"/>
      <c r="H52" s="7"/>
      <c r="I52" s="19"/>
      <c r="J52" s="26"/>
      <c r="K52" s="7"/>
      <c r="L52" s="55">
        <v>3803.1699999999983</v>
      </c>
      <c r="M52" s="26"/>
      <c r="N52" s="39" t="e">
        <f t="shared" si="10"/>
        <v>#N/A</v>
      </c>
      <c r="O52" s="26"/>
      <c r="P52" s="7"/>
      <c r="Q52" s="55">
        <v>36.039999999999964</v>
      </c>
      <c r="R52" s="26"/>
      <c r="S52" s="39">
        <f t="shared" si="13"/>
        <v>3767.1299999999983</v>
      </c>
      <c r="T52" s="6"/>
      <c r="U52" s="6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396" t="s">
        <v>284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 t="e">
        <v>#N/A</v>
      </c>
      <c r="G53" s="59"/>
      <c r="H53" s="73"/>
      <c r="I53" s="19"/>
      <c r="J53" s="14"/>
      <c r="K53" s="73"/>
      <c r="L53" s="39">
        <v>0</v>
      </c>
      <c r="M53" s="14"/>
      <c r="N53" s="61" t="e">
        <f t="shared" si="10"/>
        <v>#N/A</v>
      </c>
      <c r="O53" s="14"/>
      <c r="P53" s="73"/>
      <c r="Q53" s="39">
        <v>0</v>
      </c>
      <c r="R53" s="14"/>
      <c r="S53" s="61">
        <f t="shared" si="13"/>
        <v>0</v>
      </c>
      <c r="T53" s="6"/>
      <c r="U53" s="6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396" t="s">
        <v>313</v>
      </c>
      <c r="B54" s="7" t="s">
        <v>0</v>
      </c>
      <c r="C54" s="139" t="s">
        <v>48</v>
      </c>
      <c r="D54" s="62" t="s">
        <v>38</v>
      </c>
      <c r="E54" s="63" t="e">
        <f>F54/F$27</f>
        <v>#N/A</v>
      </c>
      <c r="F54" s="64" t="e">
        <f>+SUM(F42:F53)</f>
        <v>#N/A</v>
      </c>
      <c r="G54" s="65"/>
      <c r="H54" s="63"/>
      <c r="I54" s="64"/>
      <c r="J54" s="65" t="s">
        <v>38</v>
      </c>
      <c r="K54" s="63">
        <f>L54/L$27</f>
        <v>0.26822814405357598</v>
      </c>
      <c r="L54" s="64">
        <f>+SUM(L42:L53)</f>
        <v>39023.479999999981</v>
      </c>
      <c r="M54" s="66"/>
      <c r="N54" s="64" t="e">
        <f>+SUM(N42:N53)</f>
        <v>#N/A</v>
      </c>
      <c r="O54" s="65" t="s">
        <v>38</v>
      </c>
      <c r="P54" s="63">
        <f>Q54/Q$27</f>
        <v>0.23029683049729666</v>
      </c>
      <c r="Q54" s="64">
        <f>+SUM(Q42:Q53)</f>
        <v>70529.76999999999</v>
      </c>
      <c r="R54" s="67"/>
      <c r="S54" s="64">
        <f>+SUM(S42:S53)</f>
        <v>-31506.290000000015</v>
      </c>
      <c r="T54" s="6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396" t="s">
        <v>314</v>
      </c>
      <c r="B55" s="7" t="s">
        <v>0</v>
      </c>
      <c r="C55" s="26" t="s">
        <v>49</v>
      </c>
      <c r="D55" s="54"/>
      <c r="E55" s="7"/>
      <c r="F55" s="19" t="e">
        <v>#N/A</v>
      </c>
      <c r="G55" s="56"/>
      <c r="H55" s="7"/>
      <c r="I55" s="19"/>
      <c r="J55" s="26"/>
      <c r="K55" s="7"/>
      <c r="L55" s="39">
        <v>0</v>
      </c>
      <c r="M55" s="26"/>
      <c r="N55" s="39" t="e">
        <f t="shared" ref="N55:N71" si="14">L55-F55</f>
        <v>#N/A</v>
      </c>
      <c r="O55" s="26"/>
      <c r="P55" s="7"/>
      <c r="Q55" s="39">
        <v>0</v>
      </c>
      <c r="R55" s="26"/>
      <c r="S55" s="39">
        <f t="shared" ref="S55:S71" si="15">L55-Q55</f>
        <v>0</v>
      </c>
      <c r="T55" s="97"/>
      <c r="U55" s="6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396" t="s">
        <v>315</v>
      </c>
      <c r="B56" s="7" t="s">
        <v>0</v>
      </c>
      <c r="C56" s="26" t="s">
        <v>50</v>
      </c>
      <c r="D56" s="54"/>
      <c r="E56" s="7"/>
      <c r="F56" s="19" t="e">
        <v>#N/A</v>
      </c>
      <c r="G56" s="56"/>
      <c r="H56" s="7"/>
      <c r="I56" s="19"/>
      <c r="J56" s="26"/>
      <c r="K56" s="7"/>
      <c r="L56" s="39">
        <v>0</v>
      </c>
      <c r="M56" s="26"/>
      <c r="N56" s="39" t="e">
        <f t="shared" si="14"/>
        <v>#N/A</v>
      </c>
      <c r="O56" s="26"/>
      <c r="P56" s="7"/>
      <c r="Q56" s="39">
        <v>0</v>
      </c>
      <c r="R56" s="26"/>
      <c r="S56" s="39">
        <f t="shared" si="15"/>
        <v>0</v>
      </c>
      <c r="T56" s="97"/>
      <c r="U56" s="6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9.149999999999999" customHeight="1">
      <c r="A57" s="396" t="s">
        <v>316</v>
      </c>
      <c r="B57" s="7" t="s">
        <v>0</v>
      </c>
      <c r="C57" s="14" t="s">
        <v>51</v>
      </c>
      <c r="D57" s="57"/>
      <c r="E57" s="73"/>
      <c r="F57" s="31" t="e">
        <v>#N/A</v>
      </c>
      <c r="G57" s="59"/>
      <c r="H57" s="73"/>
      <c r="I57" s="31"/>
      <c r="J57" s="14"/>
      <c r="K57" s="73"/>
      <c r="L57" s="61">
        <v>5493.0900000000111</v>
      </c>
      <c r="M57" s="14"/>
      <c r="N57" s="61" t="e">
        <f t="shared" si="14"/>
        <v>#N/A</v>
      </c>
      <c r="O57" s="14"/>
      <c r="P57" s="73"/>
      <c r="Q57" s="61">
        <v>8310.1300000000047</v>
      </c>
      <c r="R57" s="14"/>
      <c r="S57" s="61">
        <f t="shared" si="15"/>
        <v>-2817.0399999999936</v>
      </c>
      <c r="T57" s="406"/>
      <c r="U57" s="6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396" t="s">
        <v>317</v>
      </c>
      <c r="B58" s="7" t="s">
        <v>0</v>
      </c>
      <c r="C58" s="26" t="s">
        <v>52</v>
      </c>
      <c r="D58" s="54"/>
      <c r="E58" s="7"/>
      <c r="F58" s="19" t="e">
        <v>#N/A</v>
      </c>
      <c r="G58" s="56"/>
      <c r="H58" s="7"/>
      <c r="I58" s="19"/>
      <c r="J58" s="26"/>
      <c r="K58" s="7"/>
      <c r="L58" s="39">
        <v>4814.8299999999981</v>
      </c>
      <c r="M58" s="26"/>
      <c r="N58" s="39" t="e">
        <f t="shared" si="14"/>
        <v>#N/A</v>
      </c>
      <c r="O58" s="26"/>
      <c r="P58" s="7"/>
      <c r="Q58" s="39">
        <v>5512.4599999999991</v>
      </c>
      <c r="R58" s="26"/>
      <c r="S58" s="39">
        <f t="shared" si="15"/>
        <v>-697.63000000000102</v>
      </c>
      <c r="T58" s="97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396" t="s">
        <v>318</v>
      </c>
      <c r="B59" s="7" t="s">
        <v>0</v>
      </c>
      <c r="C59" s="26" t="s">
        <v>53</v>
      </c>
      <c r="D59" s="54"/>
      <c r="E59" s="7"/>
      <c r="F59" s="19" t="e">
        <v>#N/A</v>
      </c>
      <c r="G59" s="56"/>
      <c r="H59" s="7"/>
      <c r="I59" s="19"/>
      <c r="J59" s="26"/>
      <c r="K59" s="7"/>
      <c r="L59" s="39">
        <v>1084.0399999999977</v>
      </c>
      <c r="M59" s="26"/>
      <c r="N59" s="39" t="e">
        <f t="shared" si="14"/>
        <v>#N/A</v>
      </c>
      <c r="O59" s="26"/>
      <c r="P59" s="7"/>
      <c r="Q59" s="39">
        <v>1258.0199999999995</v>
      </c>
      <c r="R59" s="26"/>
      <c r="S59" s="39">
        <f t="shared" si="15"/>
        <v>-173.98000000000184</v>
      </c>
      <c r="T59" s="6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396" t="s">
        <v>319</v>
      </c>
      <c r="B60" s="7" t="s">
        <v>0</v>
      </c>
      <c r="C60" s="14" t="s">
        <v>54</v>
      </c>
      <c r="D60" s="57"/>
      <c r="E60" s="73"/>
      <c r="F60" s="31" t="e">
        <v>#N/A</v>
      </c>
      <c r="G60" s="59"/>
      <c r="H60" s="73"/>
      <c r="I60" s="31"/>
      <c r="J60" s="14"/>
      <c r="K60" s="73"/>
      <c r="L60" s="61">
        <v>3548.7000000000007</v>
      </c>
      <c r="M60" s="14"/>
      <c r="N60" s="61" t="e">
        <f t="shared" si="14"/>
        <v>#N/A</v>
      </c>
      <c r="O60" s="14"/>
      <c r="P60" s="73"/>
      <c r="Q60" s="61">
        <v>7441.3499999999949</v>
      </c>
      <c r="R60" s="14"/>
      <c r="S60" s="61">
        <f t="shared" si="15"/>
        <v>-3892.6499999999942</v>
      </c>
      <c r="T60" s="6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396" t="s">
        <v>320</v>
      </c>
      <c r="B61" s="7" t="s">
        <v>0</v>
      </c>
      <c r="C61" s="26" t="s">
        <v>55</v>
      </c>
      <c r="D61" s="54"/>
      <c r="E61" s="7"/>
      <c r="F61" s="19" t="e">
        <v>#N/A</v>
      </c>
      <c r="G61" s="56"/>
      <c r="H61" s="7"/>
      <c r="I61" s="19"/>
      <c r="J61" s="26"/>
      <c r="K61" s="7"/>
      <c r="L61" s="39">
        <v>144.63000000000011</v>
      </c>
      <c r="M61" s="26"/>
      <c r="N61" s="39" t="e">
        <f t="shared" si="14"/>
        <v>#N/A</v>
      </c>
      <c r="O61" s="26"/>
      <c r="P61" s="7"/>
      <c r="Q61" s="39">
        <v>982.8100000000004</v>
      </c>
      <c r="R61" s="26"/>
      <c r="S61" s="39">
        <f t="shared" si="15"/>
        <v>-838.18000000000029</v>
      </c>
      <c r="T61" s="6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396" t="s">
        <v>321</v>
      </c>
      <c r="B62" s="7" t="s">
        <v>0</v>
      </c>
      <c r="C62" s="26" t="s">
        <v>56</v>
      </c>
      <c r="D62" s="54"/>
      <c r="E62" s="7"/>
      <c r="F62" s="19" t="e">
        <v>#N/A</v>
      </c>
      <c r="G62" s="56"/>
      <c r="H62" s="7"/>
      <c r="I62" s="19"/>
      <c r="J62" s="26"/>
      <c r="K62" s="7"/>
      <c r="L62" s="39">
        <v>0</v>
      </c>
      <c r="M62" s="26"/>
      <c r="N62" s="39" t="e">
        <f t="shared" si="14"/>
        <v>#N/A</v>
      </c>
      <c r="O62" s="26"/>
      <c r="P62" s="7"/>
      <c r="Q62" s="39">
        <v>0</v>
      </c>
      <c r="R62" s="26"/>
      <c r="S62" s="39">
        <f t="shared" si="15"/>
        <v>0</v>
      </c>
      <c r="T62" s="6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396" t="s">
        <v>322</v>
      </c>
      <c r="B63" s="7" t="s">
        <v>0</v>
      </c>
      <c r="C63" s="26" t="s">
        <v>57</v>
      </c>
      <c r="D63" s="54"/>
      <c r="E63" s="7"/>
      <c r="F63" s="19" t="e">
        <v>#N/A</v>
      </c>
      <c r="G63" s="56"/>
      <c r="H63" s="7"/>
      <c r="I63" s="19"/>
      <c r="J63" s="26"/>
      <c r="K63" s="7"/>
      <c r="L63" s="39">
        <v>1520.7800000000007</v>
      </c>
      <c r="M63" s="26"/>
      <c r="N63" s="39" t="e">
        <f t="shared" si="14"/>
        <v>#N/A</v>
      </c>
      <c r="O63" s="26"/>
      <c r="P63" s="7"/>
      <c r="Q63" s="39">
        <v>1513.0300000000007</v>
      </c>
      <c r="R63" s="26"/>
      <c r="S63" s="39">
        <f t="shared" si="15"/>
        <v>7.75</v>
      </c>
      <c r="T63" s="6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396" t="s">
        <v>323</v>
      </c>
      <c r="B64" s="7" t="s">
        <v>0</v>
      </c>
      <c r="C64" s="26" t="s">
        <v>58</v>
      </c>
      <c r="D64" s="54"/>
      <c r="E64" s="7"/>
      <c r="F64" s="19" t="e">
        <v>#N/A</v>
      </c>
      <c r="G64" s="56"/>
      <c r="H64" s="7"/>
      <c r="I64" s="19"/>
      <c r="J64" s="26"/>
      <c r="K64" s="7"/>
      <c r="L64" s="39">
        <v>672.34999999999945</v>
      </c>
      <c r="M64" s="26"/>
      <c r="N64" s="39" t="e">
        <f t="shared" si="14"/>
        <v>#N/A</v>
      </c>
      <c r="O64" s="26"/>
      <c r="P64" s="7"/>
      <c r="Q64" s="39">
        <v>969.77999999999975</v>
      </c>
      <c r="R64" s="26"/>
      <c r="S64" s="39">
        <f t="shared" si="15"/>
        <v>-297.43000000000029</v>
      </c>
      <c r="T64" s="6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396" t="s">
        <v>324</v>
      </c>
      <c r="B65" s="7" t="s">
        <v>0</v>
      </c>
      <c r="C65" s="26" t="s">
        <v>59</v>
      </c>
      <c r="D65" s="54"/>
      <c r="E65" s="7"/>
      <c r="F65" s="19" t="e">
        <v>#N/A</v>
      </c>
      <c r="G65" s="56"/>
      <c r="H65" s="7"/>
      <c r="I65" s="19"/>
      <c r="J65" s="26"/>
      <c r="K65" s="7"/>
      <c r="L65" s="39">
        <v>535.69000000000051</v>
      </c>
      <c r="M65" s="26"/>
      <c r="N65" s="39" t="e">
        <f t="shared" si="14"/>
        <v>#N/A</v>
      </c>
      <c r="O65" s="26"/>
      <c r="P65" s="7"/>
      <c r="Q65" s="39">
        <v>916.48999999999978</v>
      </c>
      <c r="R65" s="26"/>
      <c r="S65" s="39">
        <f t="shared" si="15"/>
        <v>-380.79999999999927</v>
      </c>
      <c r="T65" s="6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396" t="s">
        <v>325</v>
      </c>
      <c r="B66" s="7" t="s">
        <v>0</v>
      </c>
      <c r="C66" s="26" t="s">
        <v>60</v>
      </c>
      <c r="D66" s="54"/>
      <c r="E66" s="7"/>
      <c r="F66" s="19" t="e">
        <v>#N/A</v>
      </c>
      <c r="G66" s="56"/>
      <c r="H66" s="7"/>
      <c r="I66" s="19"/>
      <c r="J66" s="26"/>
      <c r="K66" s="7"/>
      <c r="L66" s="39">
        <v>3445.5399999999991</v>
      </c>
      <c r="M66" s="26"/>
      <c r="N66" s="39" t="e">
        <f t="shared" si="14"/>
        <v>#N/A</v>
      </c>
      <c r="O66" s="26"/>
      <c r="P66" s="7"/>
      <c r="Q66" s="39">
        <v>3531.24</v>
      </c>
      <c r="R66" s="26"/>
      <c r="S66" s="39">
        <f t="shared" si="15"/>
        <v>-85.700000000000728</v>
      </c>
      <c r="T66" s="6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396" t="s">
        <v>326</v>
      </c>
      <c r="B67" s="7" t="s">
        <v>0</v>
      </c>
      <c r="C67" s="26" t="s">
        <v>61</v>
      </c>
      <c r="D67" s="54"/>
      <c r="E67" s="7"/>
      <c r="F67" s="19" t="e">
        <v>#N/A</v>
      </c>
      <c r="G67" s="56"/>
      <c r="H67" s="7"/>
      <c r="I67" s="19"/>
      <c r="J67" s="26"/>
      <c r="K67" s="7"/>
      <c r="L67" s="39">
        <v>570</v>
      </c>
      <c r="M67" s="26"/>
      <c r="N67" s="39" t="e">
        <f t="shared" si="14"/>
        <v>#N/A</v>
      </c>
      <c r="O67" s="26"/>
      <c r="P67" s="7"/>
      <c r="Q67" s="39">
        <v>665</v>
      </c>
      <c r="R67" s="26"/>
      <c r="S67" s="39">
        <f t="shared" si="15"/>
        <v>-95</v>
      </c>
      <c r="T67" s="6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396" t="s">
        <v>327</v>
      </c>
      <c r="B68" s="7" t="s">
        <v>0</v>
      </c>
      <c r="C68" s="26" t="s">
        <v>62</v>
      </c>
      <c r="D68" s="54"/>
      <c r="E68" s="7"/>
      <c r="F68" s="19" t="e">
        <v>#N/A</v>
      </c>
      <c r="G68" s="56"/>
      <c r="H68" s="7"/>
      <c r="I68" s="19"/>
      <c r="J68" s="26"/>
      <c r="K68" s="7"/>
      <c r="L68" s="39">
        <v>1424.7100000000009</v>
      </c>
      <c r="M68" s="26"/>
      <c r="N68" s="39" t="e">
        <f t="shared" si="14"/>
        <v>#N/A</v>
      </c>
      <c r="O68" s="26"/>
      <c r="P68" s="7"/>
      <c r="Q68" s="39">
        <v>299.37999999999965</v>
      </c>
      <c r="R68" s="26"/>
      <c r="S68" s="39">
        <f t="shared" si="15"/>
        <v>1125.3300000000013</v>
      </c>
      <c r="T68" s="6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396" t="s">
        <v>284</v>
      </c>
      <c r="B69" s="7" t="s">
        <v>0</v>
      </c>
      <c r="C69" s="26" t="s">
        <v>19</v>
      </c>
      <c r="D69" s="54"/>
      <c r="E69" s="7"/>
      <c r="F69" s="19" t="e">
        <v>#N/A</v>
      </c>
      <c r="G69" s="56"/>
      <c r="H69" s="7"/>
      <c r="I69" s="19"/>
      <c r="J69" s="26"/>
      <c r="K69" s="7"/>
      <c r="L69" s="39"/>
      <c r="M69" s="26"/>
      <c r="N69" s="39" t="e">
        <f t="shared" si="14"/>
        <v>#N/A</v>
      </c>
      <c r="O69" s="26"/>
      <c r="P69" s="7"/>
      <c r="Q69" s="39"/>
      <c r="R69" s="26"/>
      <c r="S69" s="39">
        <f t="shared" si="15"/>
        <v>0</v>
      </c>
      <c r="T69" s="6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396" t="s">
        <v>284</v>
      </c>
      <c r="B70" s="7" t="s">
        <v>0</v>
      </c>
      <c r="C70" s="26" t="s">
        <v>19</v>
      </c>
      <c r="D70" s="54"/>
      <c r="E70" s="7"/>
      <c r="F70" s="19" t="e">
        <v>#N/A</v>
      </c>
      <c r="G70" s="56"/>
      <c r="H70" s="7"/>
      <c r="I70" s="19"/>
      <c r="J70" s="26"/>
      <c r="K70" s="7"/>
      <c r="L70" s="39">
        <v>0</v>
      </c>
      <c r="M70" s="26"/>
      <c r="N70" s="39" t="e">
        <f t="shared" si="14"/>
        <v>#N/A</v>
      </c>
      <c r="O70" s="26"/>
      <c r="P70" s="7"/>
      <c r="Q70" s="39">
        <v>0</v>
      </c>
      <c r="R70" s="26"/>
      <c r="S70" s="39">
        <f t="shared" si="15"/>
        <v>0</v>
      </c>
      <c r="T70" s="6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396" t="s">
        <v>284</v>
      </c>
      <c r="B71" s="7" t="s">
        <v>0</v>
      </c>
      <c r="C71" s="26" t="s">
        <v>19</v>
      </c>
      <c r="D71" s="54"/>
      <c r="E71" s="7"/>
      <c r="F71" s="19" t="e">
        <v>#N/A</v>
      </c>
      <c r="G71" s="56"/>
      <c r="H71" s="7"/>
      <c r="I71" s="19"/>
      <c r="J71" s="26"/>
      <c r="K71" s="7"/>
      <c r="L71" s="39">
        <v>0</v>
      </c>
      <c r="M71" s="26"/>
      <c r="N71" s="39" t="e">
        <f t="shared" si="14"/>
        <v>#N/A</v>
      </c>
      <c r="O71" s="26"/>
      <c r="P71" s="7"/>
      <c r="Q71" s="39">
        <v>0</v>
      </c>
      <c r="R71" s="26"/>
      <c r="S71" s="39">
        <f t="shared" si="15"/>
        <v>0</v>
      </c>
      <c r="T71" s="6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396" t="s">
        <v>328</v>
      </c>
      <c r="B72" s="7" t="s">
        <v>0</v>
      </c>
      <c r="C72" s="139" t="s">
        <v>63</v>
      </c>
      <c r="D72" s="62" t="s">
        <v>38</v>
      </c>
      <c r="E72" s="63" t="e">
        <f>F72/F$27</f>
        <v>#N/A</v>
      </c>
      <c r="F72" s="64" t="e">
        <f>+SUM(F55:F71)</f>
        <v>#N/A</v>
      </c>
      <c r="G72" s="65"/>
      <c r="H72" s="63"/>
      <c r="I72" s="64"/>
      <c r="J72" s="65" t="s">
        <v>38</v>
      </c>
      <c r="K72" s="63">
        <f>L72/L$27</f>
        <v>0.15983899498337206</v>
      </c>
      <c r="L72" s="64">
        <f>+SUM(L55:L71)</f>
        <v>23254.360000000008</v>
      </c>
      <c r="M72" s="66"/>
      <c r="N72" s="64" t="e">
        <f>+SUM(N55:N71)</f>
        <v>#N/A</v>
      </c>
      <c r="O72" s="65" t="s">
        <v>38</v>
      </c>
      <c r="P72" s="63">
        <f>Q72/Q$27</f>
        <v>0.10252761473059761</v>
      </c>
      <c r="Q72" s="64">
        <f>+SUM(Q55:Q71)</f>
        <v>31399.69</v>
      </c>
      <c r="R72" s="67"/>
      <c r="S72" s="64">
        <f>+SUM(S55:S71)</f>
        <v>-8145.329999999989</v>
      </c>
      <c r="T72" s="6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396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6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396" t="s">
        <v>329</v>
      </c>
      <c r="B74" s="7" t="s">
        <v>0</v>
      </c>
      <c r="C74" s="139" t="s">
        <v>64</v>
      </c>
      <c r="D74" s="62" t="s">
        <v>38</v>
      </c>
      <c r="E74" s="63" t="e">
        <f>F74/F$27</f>
        <v>#N/A</v>
      </c>
      <c r="F74" s="64" t="e">
        <f>F41+F54+F72</f>
        <v>#N/A</v>
      </c>
      <c r="G74" s="65"/>
      <c r="H74" s="63"/>
      <c r="I74" s="64"/>
      <c r="J74" s="65" t="s">
        <v>38</v>
      </c>
      <c r="K74" s="63">
        <f>L74/L$27</f>
        <v>0.52542169821663687</v>
      </c>
      <c r="L74" s="64">
        <f>L41+L54+L72</f>
        <v>76441.580000000016</v>
      </c>
      <c r="M74" s="66"/>
      <c r="N74" s="64" t="e">
        <f t="shared" ref="N74:N82" si="16">L74-F74</f>
        <v>#N/A</v>
      </c>
      <c r="O74" s="65" t="s">
        <v>38</v>
      </c>
      <c r="P74" s="63">
        <f>Q74/Q$27</f>
        <v>0.47825340067702271</v>
      </c>
      <c r="Q74" s="64">
        <f>Q41+Q54+Q72</f>
        <v>146467.94000000015</v>
      </c>
      <c r="R74" s="67"/>
      <c r="S74" s="64">
        <f>L74-Q74</f>
        <v>-70026.360000000132</v>
      </c>
      <c r="T74" s="6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396" t="s">
        <v>330</v>
      </c>
      <c r="B75" s="7" t="s">
        <v>0</v>
      </c>
      <c r="C75" s="26" t="s">
        <v>331</v>
      </c>
      <c r="D75" s="54"/>
      <c r="E75" s="7"/>
      <c r="F75" s="19" t="e">
        <v>#N/A</v>
      </c>
      <c r="G75" s="56"/>
      <c r="H75" s="7"/>
      <c r="I75" s="19"/>
      <c r="J75" s="26"/>
      <c r="K75" s="7"/>
      <c r="L75" s="39">
        <v>35241.440000000002</v>
      </c>
      <c r="M75" s="26"/>
      <c r="N75" s="39" t="e">
        <f t="shared" si="16"/>
        <v>#N/A</v>
      </c>
      <c r="O75" s="26"/>
      <c r="P75" s="7"/>
      <c r="Q75" s="39">
        <v>25446.580000000016</v>
      </c>
      <c r="R75" s="26"/>
      <c r="S75" s="39">
        <f t="shared" ref="S75:S82" si="17">L75-Q75</f>
        <v>9794.859999999986</v>
      </c>
      <c r="T75" s="6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396" t="s">
        <v>332</v>
      </c>
      <c r="B76" s="7" t="s">
        <v>0</v>
      </c>
      <c r="C76" s="300" t="s">
        <v>186</v>
      </c>
      <c r="D76" s="54"/>
      <c r="E76" s="7"/>
      <c r="F76" s="19" t="e">
        <v>#N/A</v>
      </c>
      <c r="G76" s="56"/>
      <c r="H76" s="7"/>
      <c r="I76" s="19"/>
      <c r="J76" s="26"/>
      <c r="K76" s="7"/>
      <c r="L76" s="39">
        <v>0</v>
      </c>
      <c r="M76" s="26"/>
      <c r="N76" s="39" t="e">
        <f t="shared" si="16"/>
        <v>#N/A</v>
      </c>
      <c r="O76" s="26"/>
      <c r="P76" s="7"/>
      <c r="Q76" s="39">
        <v>0</v>
      </c>
      <c r="R76" s="26"/>
      <c r="S76" s="39">
        <f t="shared" si="17"/>
        <v>0</v>
      </c>
      <c r="T76" s="6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396" t="s">
        <v>333</v>
      </c>
      <c r="B77" s="7" t="s">
        <v>0</v>
      </c>
      <c r="C77" s="300" t="s">
        <v>65</v>
      </c>
      <c r="D77" s="54"/>
      <c r="E77" s="7"/>
      <c r="F77" s="19" t="e">
        <v>#N/A</v>
      </c>
      <c r="G77" s="56"/>
      <c r="H77" s="7"/>
      <c r="I77" s="19"/>
      <c r="J77" s="26"/>
      <c r="K77" s="7"/>
      <c r="L77" s="39">
        <v>0</v>
      </c>
      <c r="M77" s="26"/>
      <c r="N77" s="39" t="e">
        <f t="shared" si="16"/>
        <v>#N/A</v>
      </c>
      <c r="O77" s="26"/>
      <c r="P77" s="7"/>
      <c r="Q77" s="39">
        <v>0</v>
      </c>
      <c r="R77" s="26"/>
      <c r="S77" s="39">
        <f t="shared" si="17"/>
        <v>0</v>
      </c>
      <c r="T77" s="6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396" t="s">
        <v>334</v>
      </c>
      <c r="B78" s="7" t="s">
        <v>0</v>
      </c>
      <c r="C78" s="300" t="s">
        <v>66</v>
      </c>
      <c r="D78" s="54"/>
      <c r="E78" s="301" t="e">
        <f>+F78/D27</f>
        <v>#N/A</v>
      </c>
      <c r="F78" s="19" t="e">
        <v>#N/A</v>
      </c>
      <c r="G78" s="56"/>
      <c r="H78" s="7"/>
      <c r="I78" s="19"/>
      <c r="J78" s="302"/>
      <c r="K78" s="301">
        <f>+L78/J27</f>
        <v>0</v>
      </c>
      <c r="L78" s="39">
        <v>0</v>
      </c>
      <c r="M78" s="26"/>
      <c r="N78" s="39" t="e">
        <f t="shared" si="16"/>
        <v>#N/A</v>
      </c>
      <c r="O78" s="302"/>
      <c r="P78" s="301">
        <f>+Q78/O27</f>
        <v>0</v>
      </c>
      <c r="Q78" s="39">
        <v>0</v>
      </c>
      <c r="R78" s="26"/>
      <c r="S78" s="39">
        <f t="shared" si="17"/>
        <v>0</v>
      </c>
      <c r="T78" s="6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396" t="s">
        <v>284</v>
      </c>
      <c r="B79" s="7" t="s">
        <v>0</v>
      </c>
      <c r="C79" s="300" t="s">
        <v>19</v>
      </c>
      <c r="D79" s="54"/>
      <c r="E79" s="7"/>
      <c r="F79" s="19" t="e">
        <v>#N/A</v>
      </c>
      <c r="G79" s="56"/>
      <c r="H79" s="7"/>
      <c r="I79" s="19"/>
      <c r="J79" s="26"/>
      <c r="K79" s="7"/>
      <c r="L79" s="39">
        <v>0</v>
      </c>
      <c r="M79" s="26"/>
      <c r="N79" s="39" t="e">
        <f t="shared" si="16"/>
        <v>#N/A</v>
      </c>
      <c r="O79" s="26"/>
      <c r="P79" s="7"/>
      <c r="Q79" s="39">
        <v>0</v>
      </c>
      <c r="R79" s="26"/>
      <c r="S79" s="39">
        <f t="shared" si="17"/>
        <v>0</v>
      </c>
      <c r="T79" s="6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396" t="s">
        <v>284</v>
      </c>
      <c r="B80" s="7" t="s">
        <v>0</v>
      </c>
      <c r="C80" s="300" t="s">
        <v>19</v>
      </c>
      <c r="D80" s="54"/>
      <c r="E80" s="7"/>
      <c r="F80" s="19" t="e">
        <v>#N/A</v>
      </c>
      <c r="G80" s="56"/>
      <c r="H80" s="7"/>
      <c r="I80" s="19"/>
      <c r="J80" s="26"/>
      <c r="K80" s="7"/>
      <c r="L80" s="39">
        <v>0</v>
      </c>
      <c r="M80" s="26"/>
      <c r="N80" s="39" t="e">
        <f t="shared" si="16"/>
        <v>#N/A</v>
      </c>
      <c r="O80" s="26"/>
      <c r="P80" s="7"/>
      <c r="Q80" s="39">
        <v>0</v>
      </c>
      <c r="R80" s="26"/>
      <c r="S80" s="39">
        <f t="shared" si="17"/>
        <v>0</v>
      </c>
      <c r="T80" s="6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396" t="s">
        <v>284</v>
      </c>
      <c r="B81" s="7" t="s">
        <v>0</v>
      </c>
      <c r="C81" s="300" t="s">
        <v>19</v>
      </c>
      <c r="D81" s="54"/>
      <c r="E81" s="7"/>
      <c r="F81" s="19" t="e">
        <v>#N/A</v>
      </c>
      <c r="G81" s="56"/>
      <c r="H81" s="7"/>
      <c r="I81" s="19"/>
      <c r="J81" s="26"/>
      <c r="K81" s="7"/>
      <c r="L81" s="39">
        <v>0</v>
      </c>
      <c r="M81" s="26"/>
      <c r="N81" s="39" t="e">
        <f t="shared" si="16"/>
        <v>#N/A</v>
      </c>
      <c r="O81" s="26"/>
      <c r="P81" s="7"/>
      <c r="Q81" s="39">
        <v>0</v>
      </c>
      <c r="R81" s="26"/>
      <c r="S81" s="39">
        <f t="shared" si="17"/>
        <v>0</v>
      </c>
      <c r="T81" s="6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335</v>
      </c>
      <c r="B82" s="7" t="s">
        <v>0</v>
      </c>
      <c r="C82" s="26" t="s">
        <v>67</v>
      </c>
      <c r="D82" s="303" t="e">
        <f>E82/499</f>
        <v>#N/A</v>
      </c>
      <c r="E82" s="274" t="e">
        <f>+F82/D24</f>
        <v>#N/A</v>
      </c>
      <c r="F82" s="19" t="e">
        <v>#N/A</v>
      </c>
      <c r="G82" s="56"/>
      <c r="H82" s="7"/>
      <c r="I82" s="19"/>
      <c r="J82" s="275">
        <f>K82/699</f>
        <v>0.46929575944071045</v>
      </c>
      <c r="K82" s="274">
        <f>+L82/J24</f>
        <v>328.03773584905662</v>
      </c>
      <c r="L82" s="39">
        <v>17386</v>
      </c>
      <c r="M82" s="26"/>
      <c r="N82" s="39" t="e">
        <f t="shared" si="16"/>
        <v>#N/A</v>
      </c>
      <c r="O82" s="275">
        <f>P82/699</f>
        <v>0</v>
      </c>
      <c r="P82" s="274">
        <f>+Q82/O24</f>
        <v>0</v>
      </c>
      <c r="Q82" s="39">
        <v>0</v>
      </c>
      <c r="R82" s="26"/>
      <c r="S82" s="39">
        <f t="shared" si="17"/>
        <v>17386</v>
      </c>
      <c r="T82" s="6">
        <f>16786+600</f>
        <v>17386</v>
      </c>
      <c r="U82" s="6" t="s">
        <v>511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396" t="s">
        <v>336</v>
      </c>
      <c r="B83" s="7" t="s">
        <v>0</v>
      </c>
      <c r="C83" s="139" t="s">
        <v>68</v>
      </c>
      <c r="D83" s="62"/>
      <c r="E83" s="63"/>
      <c r="F83" s="64" t="e">
        <f>+SUM(F75:F82)</f>
        <v>#N/A</v>
      </c>
      <c r="G83" s="65"/>
      <c r="H83" s="63"/>
      <c r="I83" s="64"/>
      <c r="J83" s="65"/>
      <c r="K83" s="63"/>
      <c r="L83" s="64">
        <f>+SUM(L75:L82)</f>
        <v>52627.44</v>
      </c>
      <c r="M83" s="66"/>
      <c r="N83" s="64" t="e">
        <f>+SUM(N75:N82)</f>
        <v>#N/A</v>
      </c>
      <c r="O83" s="65"/>
      <c r="P83" s="63"/>
      <c r="Q83" s="64">
        <f>+SUM(Q75:Q82)</f>
        <v>25446.580000000016</v>
      </c>
      <c r="R83" s="67"/>
      <c r="S83" s="64">
        <f>+SUM(S75:S82)</f>
        <v>27180.859999999986</v>
      </c>
      <c r="T83" s="6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396" t="s">
        <v>0</v>
      </c>
      <c r="B84" s="7" t="s">
        <v>0</v>
      </c>
      <c r="C84" s="304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6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396" t="s">
        <v>337</v>
      </c>
      <c r="B85" s="7" t="s">
        <v>0</v>
      </c>
      <c r="C85" s="276" t="s">
        <v>69</v>
      </c>
      <c r="D85" s="277"/>
      <c r="E85" s="278"/>
      <c r="F85" s="138" t="e">
        <f>F27-F74+F83</f>
        <v>#N/A</v>
      </c>
      <c r="G85" s="279"/>
      <c r="H85" s="278"/>
      <c r="I85" s="138"/>
      <c r="J85" s="279"/>
      <c r="K85" s="278"/>
      <c r="L85" s="138">
        <f>L27-L74+L83</f>
        <v>121672.00999999931</v>
      </c>
      <c r="M85" s="280"/>
      <c r="N85" s="138" t="e">
        <f>N27-N41-N54-N72+N83</f>
        <v>#N/A</v>
      </c>
      <c r="O85" s="279"/>
      <c r="P85" s="278"/>
      <c r="Q85" s="138">
        <f>Q27-Q74+Q83</f>
        <v>185234.56999999136</v>
      </c>
      <c r="R85" s="281"/>
      <c r="S85" s="138">
        <f>S27-S41-S54-S72+S83</f>
        <v>-63562.559999992052</v>
      </c>
      <c r="T85" s="6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5"/>
      <c r="K86" s="82"/>
      <c r="L86" s="306"/>
      <c r="M86" s="82"/>
      <c r="N86" s="82"/>
      <c r="O86" s="82"/>
      <c r="P86" s="82"/>
      <c r="Q86" s="83"/>
      <c r="R86" s="82"/>
      <c r="S86" s="82"/>
      <c r="T86" s="6"/>
      <c r="U86" s="6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6"/>
      <c r="U87" s="6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Réalisé, Aout 2026</v>
      </c>
      <c r="T89" s="381"/>
      <c r="U89" s="381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426" t="s">
        <v>5</v>
      </c>
      <c r="E91" s="427"/>
      <c r="F91" s="425"/>
      <c r="G91" s="424"/>
      <c r="H91" s="427"/>
      <c r="I91" s="425"/>
      <c r="J91" s="424" t="s">
        <v>7</v>
      </c>
      <c r="K91" s="427"/>
      <c r="L91" s="425"/>
      <c r="M91" s="424" t="s">
        <v>210</v>
      </c>
      <c r="N91" s="425"/>
      <c r="O91" s="426" t="s">
        <v>8</v>
      </c>
      <c r="P91" s="427"/>
      <c r="Q91" s="425"/>
      <c r="R91" s="424" t="s">
        <v>211</v>
      </c>
      <c r="S91" s="425"/>
      <c r="T91" s="6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220</v>
      </c>
      <c r="K92" s="9" t="s">
        <v>13</v>
      </c>
      <c r="L92" s="10" t="s">
        <v>12</v>
      </c>
      <c r="M92" s="11" t="s">
        <v>220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220</v>
      </c>
      <c r="S92" s="10" t="s">
        <v>12</v>
      </c>
      <c r="T92" s="6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396" t="s">
        <v>221</v>
      </c>
      <c r="B93" s="7" t="s">
        <v>70</v>
      </c>
      <c r="C93" s="14" t="s">
        <v>14</v>
      </c>
      <c r="D93" s="30"/>
      <c r="E93" s="30"/>
      <c r="F93" s="31" t="e">
        <v>#N/A</v>
      </c>
      <c r="G93" s="34"/>
      <c r="H93" s="30"/>
      <c r="I93" s="31"/>
      <c r="J93" s="14"/>
      <c r="K93" s="58"/>
      <c r="L93" s="61">
        <v>2038487.7499999991</v>
      </c>
      <c r="M93" s="86"/>
      <c r="N93" s="87"/>
      <c r="O93" s="14"/>
      <c r="P93" s="58"/>
      <c r="Q93" s="61">
        <v>3574806.149999998</v>
      </c>
      <c r="R93" s="307"/>
      <c r="S93" s="286"/>
      <c r="T93" s="6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396" t="s">
        <v>223</v>
      </c>
      <c r="B94" s="7" t="s">
        <v>70</v>
      </c>
      <c r="C94" s="26" t="s">
        <v>72</v>
      </c>
      <c r="D94" s="19" t="e">
        <v>#N/A</v>
      </c>
      <c r="E94" s="19" t="e">
        <f>IF(D94=0,0,F94/D94)</f>
        <v>#N/A</v>
      </c>
      <c r="F94" s="19" t="e">
        <v>#N/A</v>
      </c>
      <c r="G94" s="20"/>
      <c r="H94" s="19"/>
      <c r="I94" s="19"/>
      <c r="J94" s="20">
        <v>0</v>
      </c>
      <c r="K94" s="55">
        <f t="shared" ref="K94:K96" si="18">IF(J94=0,0,L94/J94)</f>
        <v>0</v>
      </c>
      <c r="L94" s="39">
        <v>0</v>
      </c>
      <c r="M94" s="20" t="e">
        <f>J94-D94</f>
        <v>#N/A</v>
      </c>
      <c r="N94" s="21" t="e">
        <f>L94-F94</f>
        <v>#N/A</v>
      </c>
      <c r="O94" s="20">
        <v>0</v>
      </c>
      <c r="P94" s="55">
        <f t="shared" ref="P94:P96" si="19">IF(O94=0,0,Q94/O94)</f>
        <v>0</v>
      </c>
      <c r="Q94" s="39">
        <v>0</v>
      </c>
      <c r="R94" s="20">
        <f t="shared" ref="R94" si="20">J94-O94</f>
        <v>0</v>
      </c>
      <c r="S94" s="39">
        <f t="shared" ref="S94:S95" si="21">L94-Q94</f>
        <v>0</v>
      </c>
      <c r="T94" s="6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396" t="s">
        <v>225</v>
      </c>
      <c r="B95" s="7" t="s">
        <v>70</v>
      </c>
      <c r="C95" s="26" t="s">
        <v>73</v>
      </c>
      <c r="D95" s="19" t="e">
        <v>#N/A</v>
      </c>
      <c r="E95" s="19" t="e">
        <f t="shared" ref="E95:E106" si="22">IF(D95=0,0,F95/D95)</f>
        <v>#N/A</v>
      </c>
      <c r="F95" s="19" t="e">
        <v>#N/A</v>
      </c>
      <c r="G95" s="20"/>
      <c r="H95" s="19"/>
      <c r="I95" s="19"/>
      <c r="J95" s="20">
        <v>24</v>
      </c>
      <c r="K95" s="55">
        <f t="shared" si="18"/>
        <v>575.65166666666244</v>
      </c>
      <c r="L95" s="39">
        <v>13815.639999999898</v>
      </c>
      <c r="M95" s="20" t="e">
        <f>J95-D95</f>
        <v>#N/A</v>
      </c>
      <c r="N95" s="21" t="e">
        <f>L95-F95</f>
        <v>#N/A</v>
      </c>
      <c r="O95" s="20">
        <v>16</v>
      </c>
      <c r="P95" s="55">
        <f t="shared" si="19"/>
        <v>1085.3031250000131</v>
      </c>
      <c r="Q95" s="39">
        <v>17364.85000000021</v>
      </c>
      <c r="R95" s="20">
        <f>J95-O95</f>
        <v>8</v>
      </c>
      <c r="S95" s="39">
        <f t="shared" si="21"/>
        <v>-3549.210000000312</v>
      </c>
      <c r="T95" s="6"/>
      <c r="U95" s="6" t="s">
        <v>504</v>
      </c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396" t="str">
        <f>B96&amp;C96</f>
        <v>Véhicules usagésAutres Marques</v>
      </c>
      <c r="B96" s="7" t="s">
        <v>70</v>
      </c>
      <c r="C96" s="26" t="s">
        <v>338</v>
      </c>
      <c r="D96" s="19" t="e">
        <v>#N/A</v>
      </c>
      <c r="E96" s="30" t="e">
        <f t="shared" si="22"/>
        <v>#N/A</v>
      </c>
      <c r="F96" s="19" t="e">
        <v>#N/A</v>
      </c>
      <c r="G96" s="20"/>
      <c r="H96" s="19"/>
      <c r="I96" s="19"/>
      <c r="J96" s="20">
        <v>0</v>
      </c>
      <c r="K96" s="58">
        <f t="shared" si="18"/>
        <v>0</v>
      </c>
      <c r="L96" s="39">
        <v>0</v>
      </c>
      <c r="M96" s="20" t="e">
        <f>J96-D96</f>
        <v>#N/A</v>
      </c>
      <c r="N96" s="21" t="e">
        <f>L96-F96</f>
        <v>#N/A</v>
      </c>
      <c r="O96" s="20">
        <v>0</v>
      </c>
      <c r="P96" s="58">
        <f t="shared" si="19"/>
        <v>0</v>
      </c>
      <c r="Q96" s="39">
        <v>0</v>
      </c>
      <c r="R96" s="20">
        <f>J96-O96</f>
        <v>0</v>
      </c>
      <c r="S96" s="39">
        <f>L96-Q96</f>
        <v>0</v>
      </c>
      <c r="T96" s="6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396" t="str">
        <f t="shared" ref="A97:A100" si="23">B97&amp;C97</f>
        <v>Véhicules usagésTotal Usagés</v>
      </c>
      <c r="B97" s="7" t="s">
        <v>70</v>
      </c>
      <c r="C97" s="289" t="s">
        <v>74</v>
      </c>
      <c r="D97" s="22" t="e">
        <f>+D95+D94+D96</f>
        <v>#N/A</v>
      </c>
      <c r="E97" s="290" t="e">
        <f t="shared" si="22"/>
        <v>#N/A</v>
      </c>
      <c r="F97" s="23" t="e">
        <f>+F94+F95+F96</f>
        <v>#N/A</v>
      </c>
      <c r="G97" s="24"/>
      <c r="H97" s="22"/>
      <c r="I97" s="23"/>
      <c r="J97" s="24">
        <f>+J94+J95+J96</f>
        <v>24</v>
      </c>
      <c r="K97" s="74">
        <f>IF(J97&lt;=0,0,L97/J97)</f>
        <v>575.65166666666244</v>
      </c>
      <c r="L97" s="123">
        <f>+L94+L95+L96</f>
        <v>13815.639999999898</v>
      </c>
      <c r="M97" s="24" t="e">
        <f>J97-D97</f>
        <v>#N/A</v>
      </c>
      <c r="N97" s="23" t="e">
        <f>L97-F97</f>
        <v>#N/A</v>
      </c>
      <c r="O97" s="22">
        <f>+O94+O95+O96</f>
        <v>16</v>
      </c>
      <c r="P97" s="74">
        <f>IF(O97&lt;=0,0,Q97/O97)</f>
        <v>1085.3031250000131</v>
      </c>
      <c r="Q97" s="123">
        <f>+Q94+Q95+Q96</f>
        <v>17364.85000000021</v>
      </c>
      <c r="R97" s="24">
        <f>R94+R95</f>
        <v>8</v>
      </c>
      <c r="S97" s="123">
        <f>S94+S95</f>
        <v>-3549.210000000312</v>
      </c>
      <c r="T97" s="6">
        <v>24</v>
      </c>
      <c r="U97" s="397">
        <v>13816</v>
      </c>
      <c r="V97" s="398">
        <f>L97-U97</f>
        <v>-0.36000000010244548</v>
      </c>
      <c r="W97" s="7"/>
      <c r="X97" s="7"/>
      <c r="Y97" s="7"/>
      <c r="Z97" s="7"/>
      <c r="AA97" s="7"/>
      <c r="AB97" s="7"/>
      <c r="AC97" s="55"/>
      <c r="AD97" s="55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396" t="str">
        <f t="shared" si="23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8"/>
      <c r="N98" s="309"/>
      <c r="O98" s="52"/>
      <c r="P98" s="74"/>
      <c r="Q98" s="112"/>
      <c r="R98" s="291">
        <f>R97/O97</f>
        <v>0.5</v>
      </c>
      <c r="S98" s="28">
        <f>IF(Q97=0,0,(S97/Q97))</f>
        <v>-0.20439047846657293</v>
      </c>
      <c r="T98" s="6"/>
      <c r="U98" s="397"/>
      <c r="V98" s="398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396" t="str">
        <f t="shared" si="23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/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/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6"/>
      <c r="U99" s="399"/>
      <c r="V99" s="398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396" t="str">
        <f t="shared" si="23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6"/>
      <c r="U100" s="397"/>
      <c r="V100" s="398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396" t="s">
        <v>339</v>
      </c>
      <c r="B101" s="7" t="s">
        <v>70</v>
      </c>
      <c r="C101" s="52" t="s">
        <v>75</v>
      </c>
      <c r="D101" s="19" t="e">
        <v>#N/A</v>
      </c>
      <c r="E101" s="19" t="e">
        <f t="shared" si="22"/>
        <v>#N/A</v>
      </c>
      <c r="F101" s="19" t="e">
        <v>#N/A</v>
      </c>
      <c r="G101" s="20"/>
      <c r="H101" s="19"/>
      <c r="I101" s="19"/>
      <c r="J101" s="20">
        <v>35</v>
      </c>
      <c r="K101" s="55">
        <f>IF(J101=0,0,L101/J101)</f>
        <v>-476.81885714287802</v>
      </c>
      <c r="L101" s="39">
        <v>-16688.660000000731</v>
      </c>
      <c r="M101" s="20" t="e">
        <f>J101-D101</f>
        <v>#N/A</v>
      </c>
      <c r="N101" s="21" t="e">
        <f>L101-F101</f>
        <v>#N/A</v>
      </c>
      <c r="O101" s="20">
        <v>82</v>
      </c>
      <c r="P101" s="55">
        <f>IF(O101=0,0,Q101/O101)</f>
        <v>40.515365853633092</v>
      </c>
      <c r="Q101" s="39">
        <v>3322.2599999979138</v>
      </c>
      <c r="R101" s="40">
        <f>J101-O101</f>
        <v>-47</v>
      </c>
      <c r="S101" s="39">
        <f>L101-Q101</f>
        <v>-20010.919999998645</v>
      </c>
      <c r="T101" s="6">
        <v>35</v>
      </c>
      <c r="U101" s="397">
        <v>-16689</v>
      </c>
      <c r="V101" s="398">
        <f>L101-U101</f>
        <v>0.33999999926891178</v>
      </c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396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6"/>
      <c r="U102" s="397"/>
      <c r="V102" s="400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396" t="s">
        <v>340</v>
      </c>
      <c r="B103" s="7" t="s">
        <v>70</v>
      </c>
      <c r="C103" s="26" t="s">
        <v>24</v>
      </c>
      <c r="D103" s="19" t="e">
        <v>#N/A</v>
      </c>
      <c r="E103" s="19" t="e">
        <f t="shared" si="22"/>
        <v>#N/A</v>
      </c>
      <c r="F103" s="21" t="e">
        <v>#N/A</v>
      </c>
      <c r="G103" s="20"/>
      <c r="H103" s="19"/>
      <c r="I103" s="19"/>
      <c r="J103" s="20"/>
      <c r="K103" s="55">
        <f>IF(J97=0,0,L103/J97)</f>
        <v>639.08749999999998</v>
      </c>
      <c r="L103" s="39">
        <v>15338.099999999999</v>
      </c>
      <c r="M103" s="20"/>
      <c r="N103" s="21" t="e">
        <f>L103-F103</f>
        <v>#N/A</v>
      </c>
      <c r="O103" s="20"/>
      <c r="P103" s="55">
        <f>IF(O97=0,0,Q103/O97)</f>
        <v>458.09249999999997</v>
      </c>
      <c r="Q103" s="39">
        <v>7329.48</v>
      </c>
      <c r="R103" s="40">
        <f>P103-K103</f>
        <v>-180.995</v>
      </c>
      <c r="S103" s="39">
        <f t="shared" ref="S103:S105" si="24">L103-Q103</f>
        <v>8008.619999999999</v>
      </c>
      <c r="T103" s="6"/>
      <c r="U103" s="399"/>
      <c r="V103" s="400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396" t="s">
        <v>341</v>
      </c>
      <c r="B104" s="7" t="s">
        <v>70</v>
      </c>
      <c r="C104" s="26" t="s">
        <v>25</v>
      </c>
      <c r="D104" s="19" t="e">
        <v>#N/A</v>
      </c>
      <c r="E104" s="19" t="e">
        <f t="shared" si="22"/>
        <v>#N/A</v>
      </c>
      <c r="F104" s="21" t="e">
        <v>#N/A</v>
      </c>
      <c r="G104" s="20"/>
      <c r="H104" s="19"/>
      <c r="I104" s="19"/>
      <c r="J104" s="20"/>
      <c r="K104" s="55">
        <f>IF(J97=0,0,L104/J97)</f>
        <v>484.48208333333332</v>
      </c>
      <c r="L104" s="39">
        <v>11627.57</v>
      </c>
      <c r="M104" s="20"/>
      <c r="N104" s="21" t="e">
        <f>L104-F104</f>
        <v>#N/A</v>
      </c>
      <c r="O104" s="20"/>
      <c r="P104" s="55">
        <f>IF(O97=0,0,Q104/O97)</f>
        <v>342.19437499999998</v>
      </c>
      <c r="Q104" s="39">
        <v>5475.11</v>
      </c>
      <c r="R104" s="40">
        <f t="shared" ref="R104:R106" si="25">P104-K104</f>
        <v>-142.28770833333334</v>
      </c>
      <c r="S104" s="39">
        <f t="shared" si="24"/>
        <v>6152.46</v>
      </c>
      <c r="T104" s="6"/>
      <c r="U104" s="397"/>
      <c r="V104" s="400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396" t="s">
        <v>342</v>
      </c>
      <c r="B105" s="7" t="s">
        <v>70</v>
      </c>
      <c r="C105" s="26" t="s">
        <v>26</v>
      </c>
      <c r="D105" s="19" t="e">
        <v>#N/A</v>
      </c>
      <c r="E105" s="30" t="e">
        <f t="shared" si="22"/>
        <v>#N/A</v>
      </c>
      <c r="F105" s="21" t="e">
        <v>#N/A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 t="e">
        <f>L105-F105</f>
        <v>#N/A</v>
      </c>
      <c r="O105" s="20"/>
      <c r="P105" s="58">
        <f>IF(O97=0,0,Q105/O97)</f>
        <v>0</v>
      </c>
      <c r="Q105" s="39">
        <v>0</v>
      </c>
      <c r="R105" s="40">
        <f t="shared" si="25"/>
        <v>0</v>
      </c>
      <c r="S105" s="39">
        <f t="shared" si="24"/>
        <v>0</v>
      </c>
      <c r="T105" s="6"/>
      <c r="U105" s="397"/>
      <c r="V105" s="400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396" t="s">
        <v>343</v>
      </c>
      <c r="B106" s="7" t="s">
        <v>70</v>
      </c>
      <c r="C106" s="289" t="s">
        <v>27</v>
      </c>
      <c r="D106" s="22" t="e">
        <f>D97</f>
        <v>#N/A</v>
      </c>
      <c r="E106" s="290" t="e">
        <f t="shared" si="22"/>
        <v>#N/A</v>
      </c>
      <c r="F106" s="23" t="e">
        <f>F103+F104+F105</f>
        <v>#N/A</v>
      </c>
      <c r="G106" s="24"/>
      <c r="H106" s="22"/>
      <c r="I106" s="23"/>
      <c r="J106" s="24">
        <f>J97</f>
        <v>24</v>
      </c>
      <c r="K106" s="122">
        <f>IF(J106&lt;=0,0,L106/J106)</f>
        <v>1123.5695833333332</v>
      </c>
      <c r="L106" s="123">
        <f>L103+L104+L105</f>
        <v>26965.67</v>
      </c>
      <c r="M106" s="38" t="e">
        <f>J106-D106</f>
        <v>#N/A</v>
      </c>
      <c r="N106" s="23" t="e">
        <f>L106-F106</f>
        <v>#N/A</v>
      </c>
      <c r="O106" s="24">
        <f>O97</f>
        <v>16</v>
      </c>
      <c r="P106" s="122">
        <f>IF(O106&lt;=0,0,Q106/O106)</f>
        <v>800.28687500000001</v>
      </c>
      <c r="Q106" s="123">
        <f>Q103+Q104+Q105</f>
        <v>12804.59</v>
      </c>
      <c r="R106" s="124">
        <f t="shared" si="25"/>
        <v>-323.28270833333318</v>
      </c>
      <c r="S106" s="123">
        <f>L106-Q106</f>
        <v>14161.079999999998</v>
      </c>
      <c r="T106" s="6"/>
      <c r="U106" s="397">
        <v>26966</v>
      </c>
      <c r="V106" s="398">
        <f>L106-U106</f>
        <v>-0.33000000000174623</v>
      </c>
      <c r="W106" s="7"/>
      <c r="X106" s="7"/>
      <c r="Y106" s="7"/>
      <c r="Z106" s="7"/>
      <c r="AA106" s="7"/>
      <c r="AB106" s="7"/>
      <c r="AC106" s="7"/>
      <c r="AD106" s="55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396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#N/A</v>
      </c>
      <c r="O107" s="52"/>
      <c r="P107" s="74"/>
      <c r="Q107" s="112"/>
      <c r="R107" s="111"/>
      <c r="S107" s="28">
        <f>IF(Q106=0,0,(S106/Q106))</f>
        <v>1.1059377926196776</v>
      </c>
      <c r="T107" s="6"/>
      <c r="U107" s="397"/>
      <c r="V107" s="398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396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6"/>
      <c r="U108" s="397"/>
      <c r="V108" s="398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396" t="s">
        <v>228</v>
      </c>
      <c r="B109" s="7" t="s">
        <v>70</v>
      </c>
      <c r="C109" s="264" t="s">
        <v>76</v>
      </c>
      <c r="D109" s="41" t="e">
        <f>D97+D101</f>
        <v>#N/A</v>
      </c>
      <c r="E109" s="42" t="e">
        <f>IF(D109&lt;=0,0,F109/D109)</f>
        <v>#N/A</v>
      </c>
      <c r="F109" s="43" t="e">
        <f>F97+F106+F101</f>
        <v>#N/A</v>
      </c>
      <c r="G109" s="44"/>
      <c r="H109" s="42"/>
      <c r="I109" s="43"/>
      <c r="J109" s="44">
        <f>J97+J101</f>
        <v>59</v>
      </c>
      <c r="K109" s="41">
        <f>IF(J109&lt;=0,0,L109/J109)</f>
        <v>408.34999999998587</v>
      </c>
      <c r="L109" s="43">
        <f>L97+L106+L101+L99</f>
        <v>24092.649999999165</v>
      </c>
      <c r="M109" s="44" t="e">
        <f>J109-D109</f>
        <v>#N/A</v>
      </c>
      <c r="N109" s="43" t="e">
        <f>L109-F109</f>
        <v>#N/A</v>
      </c>
      <c r="O109" s="44">
        <f>O97+O101</f>
        <v>98</v>
      </c>
      <c r="P109" s="41">
        <f>IF(O109&lt;=0,0,Q109/O109)</f>
        <v>341.75204081630733</v>
      </c>
      <c r="Q109" s="43">
        <f>Q97+Q106+Q101+Q99</f>
        <v>33491.69999999812</v>
      </c>
      <c r="R109" s="44">
        <f>J109-O109</f>
        <v>-39</v>
      </c>
      <c r="S109" s="43">
        <f>L109-Q109</f>
        <v>-9399.0499999989552</v>
      </c>
      <c r="T109" s="6"/>
      <c r="U109" s="397">
        <f>SUM(U97:U107)</f>
        <v>24093</v>
      </c>
      <c r="V109" s="398">
        <f>L109-U109</f>
        <v>-0.35000000083527993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396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>
        <f>O109/R109</f>
        <v>-2.5128205128205128</v>
      </c>
      <c r="S110" s="267">
        <f>IF(Q109=0,0,(S109/Q109))</f>
        <v>-0.28063818796894402</v>
      </c>
      <c r="T110" s="6"/>
      <c r="U110" s="397"/>
      <c r="V110" s="398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396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6"/>
      <c r="U111" s="397"/>
      <c r="V111" s="398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396" t="s">
        <v>230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6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396" t="s">
        <v>231</v>
      </c>
      <c r="B113" s="7" t="s">
        <v>70</v>
      </c>
      <c r="C113" s="26" t="s">
        <v>30</v>
      </c>
      <c r="D113" s="93" t="e">
        <f>F113/F97</f>
        <v>#N/A</v>
      </c>
      <c r="E113" s="55" t="e">
        <f t="shared" ref="E113:E122" si="26">F113/D$97</f>
        <v>#N/A</v>
      </c>
      <c r="F113" s="19" t="e">
        <v>#N/A</v>
      </c>
      <c r="G113" s="99"/>
      <c r="H113" s="55"/>
      <c r="I113" s="19"/>
      <c r="J113" s="99">
        <f>L113/L97</f>
        <v>0.17138185418844279</v>
      </c>
      <c r="K113" s="55">
        <f>IF($J$97=0,0,L113/(J$94+J$95+J96))</f>
        <v>98.65625</v>
      </c>
      <c r="L113" s="39">
        <v>2367.75</v>
      </c>
      <c r="M113" s="26"/>
      <c r="N113" s="39" t="e">
        <f t="shared" ref="N113:N154" si="27">L113-F113</f>
        <v>#N/A</v>
      </c>
      <c r="O113" s="99">
        <f>Q113/Q97</f>
        <v>3.2155296475350683</v>
      </c>
      <c r="P113" s="55">
        <f>IF($J$97=0,0,Q113/(O$94+O$95+O96))</f>
        <v>3489.8243750000001</v>
      </c>
      <c r="Q113" s="39">
        <v>55837.19</v>
      </c>
      <c r="R113" s="26"/>
      <c r="S113" s="39">
        <f>L113-Q113</f>
        <v>-53469.440000000002</v>
      </c>
      <c r="T113" s="6"/>
      <c r="U113" s="6" t="s">
        <v>500</v>
      </c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396" t="s">
        <v>232</v>
      </c>
      <c r="B114" s="7" t="s">
        <v>70</v>
      </c>
      <c r="C114" s="14" t="s">
        <v>31</v>
      </c>
      <c r="D114" s="310" t="e">
        <f>F114/(F106)</f>
        <v>#N/A</v>
      </c>
      <c r="E114" s="58" t="e">
        <f t="shared" si="26"/>
        <v>#N/A</v>
      </c>
      <c r="F114" s="31" t="e">
        <v>#N/A</v>
      </c>
      <c r="G114" s="104"/>
      <c r="H114" s="58"/>
      <c r="I114" s="31"/>
      <c r="J114" s="104">
        <f>L114/(L106)</f>
        <v>0.21357637321824391</v>
      </c>
      <c r="K114" s="58">
        <f>IF($J$97=0,0,L114/(J$94+J$95+J96))</f>
        <v>239.96791666666681</v>
      </c>
      <c r="L114" s="39">
        <v>5759.2300000000032</v>
      </c>
      <c r="M114" s="14"/>
      <c r="N114" s="61" t="e">
        <f t="shared" si="27"/>
        <v>#N/A</v>
      </c>
      <c r="O114" s="104">
        <f>Q114/(Q106)</f>
        <v>0.23503681101854876</v>
      </c>
      <c r="P114" s="58">
        <f>IF($J$97=0,0,Q114/(O$94+O$95+O96))</f>
        <v>188.09687499999995</v>
      </c>
      <c r="Q114" s="39">
        <v>3009.5499999999993</v>
      </c>
      <c r="R114" s="14"/>
      <c r="S114" s="61">
        <f t="shared" ref="S114:S166" si="28">L114-Q114</f>
        <v>2749.6800000000039</v>
      </c>
      <c r="T114" s="6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396" t="s">
        <v>233</v>
      </c>
      <c r="B115" s="7" t="s">
        <v>70</v>
      </c>
      <c r="C115" s="26" t="s">
        <v>32</v>
      </c>
      <c r="D115" s="54"/>
      <c r="E115" s="55" t="e">
        <f t="shared" si="26"/>
        <v>#N/A</v>
      </c>
      <c r="F115" s="19" t="e">
        <v>#N/A</v>
      </c>
      <c r="G115" s="56"/>
      <c r="H115" s="55"/>
      <c r="I115" s="19"/>
      <c r="J115" s="26"/>
      <c r="K115" s="55">
        <f>IF($J$97=0,0,L115/(J$94+J$95+J96))</f>
        <v>9.2675000000000036</v>
      </c>
      <c r="L115" s="72">
        <v>222.42000000000007</v>
      </c>
      <c r="M115" s="26"/>
      <c r="N115" s="39" t="e">
        <f t="shared" si="27"/>
        <v>#N/A</v>
      </c>
      <c r="O115" s="26"/>
      <c r="P115" s="55">
        <f>IF($J$97=0,0,Q115/(O$94+O$95+O96))</f>
        <v>-572.94499999999994</v>
      </c>
      <c r="Q115" s="72">
        <v>-9167.119999999999</v>
      </c>
      <c r="R115" s="26"/>
      <c r="S115" s="39">
        <f t="shared" si="28"/>
        <v>9389.5399999999991</v>
      </c>
      <c r="T115" s="6"/>
      <c r="U115" s="6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396" t="s">
        <v>234</v>
      </c>
      <c r="B116" s="7" t="s">
        <v>70</v>
      </c>
      <c r="C116" s="26" t="s">
        <v>33</v>
      </c>
      <c r="D116" s="54"/>
      <c r="E116" s="55" t="e">
        <f t="shared" si="26"/>
        <v>#N/A</v>
      </c>
      <c r="F116" s="19" t="e">
        <v>#N/A</v>
      </c>
      <c r="G116" s="56"/>
      <c r="H116" s="55"/>
      <c r="I116" s="19"/>
      <c r="J116" s="26"/>
      <c r="K116" s="55">
        <f>IF($J$97=0,0,L116/(J$94+J$95+J96))</f>
        <v>42.295833333333348</v>
      </c>
      <c r="L116" s="39">
        <v>1015.1000000000004</v>
      </c>
      <c r="M116" s="26"/>
      <c r="N116" s="39" t="e">
        <f t="shared" si="27"/>
        <v>#N/A</v>
      </c>
      <c r="O116" s="26"/>
      <c r="P116" s="55">
        <f>IF($J$97=0,0,Q116/(O$94+O$95+O96))</f>
        <v>15.25</v>
      </c>
      <c r="Q116" s="39">
        <v>244</v>
      </c>
      <c r="R116" s="26"/>
      <c r="S116" s="39">
        <f t="shared" si="28"/>
        <v>771.10000000000036</v>
      </c>
      <c r="T116" s="6"/>
      <c r="U116" s="6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396" t="s">
        <v>235</v>
      </c>
      <c r="B117" s="7" t="s">
        <v>70</v>
      </c>
      <c r="C117" s="14" t="s">
        <v>34</v>
      </c>
      <c r="D117" s="57"/>
      <c r="E117" s="58" t="e">
        <f t="shared" si="26"/>
        <v>#N/A</v>
      </c>
      <c r="F117" s="31" t="e">
        <v>#N/A</v>
      </c>
      <c r="G117" s="59"/>
      <c r="H117" s="58"/>
      <c r="I117" s="31"/>
      <c r="J117" s="14"/>
      <c r="K117" s="58">
        <f>IF($J$97=0,0,L117/(J$94+J$95+J96))</f>
        <v>3.6895833333333337</v>
      </c>
      <c r="L117" s="61">
        <v>88.550000000000011</v>
      </c>
      <c r="M117" s="14"/>
      <c r="N117" s="61" t="e">
        <f t="shared" si="27"/>
        <v>#N/A</v>
      </c>
      <c r="O117" s="14"/>
      <c r="P117" s="58">
        <f>IF($J$97=0,0,Q117/(O$94+O$95+O96))</f>
        <v>0</v>
      </c>
      <c r="Q117" s="61">
        <v>0</v>
      </c>
      <c r="R117" s="14"/>
      <c r="S117" s="61">
        <f t="shared" si="28"/>
        <v>88.550000000000011</v>
      </c>
      <c r="T117" s="6"/>
      <c r="U117" s="97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396" t="s">
        <v>236</v>
      </c>
      <c r="B118" s="7" t="s">
        <v>70</v>
      </c>
      <c r="C118" s="26" t="s">
        <v>35</v>
      </c>
      <c r="D118" s="54"/>
      <c r="E118" s="55" t="e">
        <f t="shared" si="26"/>
        <v>#N/A</v>
      </c>
      <c r="F118" s="19" t="e">
        <v>#N/A</v>
      </c>
      <c r="G118" s="56"/>
      <c r="H118" s="55"/>
      <c r="I118" s="19"/>
      <c r="J118" s="26"/>
      <c r="K118" s="55">
        <f>IF($J$97=0,0,L118/(J$94+J$95+J96))</f>
        <v>224.73000000000005</v>
      </c>
      <c r="L118" s="39">
        <v>5393.5200000000013</v>
      </c>
      <c r="M118" s="26"/>
      <c r="N118" s="39" t="e">
        <f t="shared" si="27"/>
        <v>#N/A</v>
      </c>
      <c r="O118" s="26"/>
      <c r="P118" s="55">
        <f>IF($J$97=0,0,Q118/(O$94+O$95+O96))</f>
        <v>211.44687500000015</v>
      </c>
      <c r="Q118" s="39">
        <v>3383.1500000000024</v>
      </c>
      <c r="R118" s="26"/>
      <c r="S118" s="39">
        <f t="shared" si="28"/>
        <v>2010.369999999999</v>
      </c>
      <c r="T118" s="6"/>
      <c r="U118" s="97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396" t="s">
        <v>237</v>
      </c>
      <c r="B119" s="7" t="s">
        <v>70</v>
      </c>
      <c r="C119" s="26" t="s">
        <v>36</v>
      </c>
      <c r="D119" s="54"/>
      <c r="E119" s="55" t="e">
        <f t="shared" si="26"/>
        <v>#N/A</v>
      </c>
      <c r="F119" s="19" t="e">
        <v>#N/A</v>
      </c>
      <c r="G119" s="56"/>
      <c r="H119" s="55"/>
      <c r="I119" s="19"/>
      <c r="J119" s="26"/>
      <c r="K119" s="55">
        <f>IF($J$97=0,0,L119/(J$94+J$95+J96))</f>
        <v>252.85499999999956</v>
      </c>
      <c r="L119" s="39">
        <v>6068.5199999999895</v>
      </c>
      <c r="M119" s="26"/>
      <c r="N119" s="39" t="e">
        <f t="shared" si="27"/>
        <v>#N/A</v>
      </c>
      <c r="O119" s="26"/>
      <c r="P119" s="55">
        <f>IF($J$97=0,0,Q119/(O$94+O$95+O96))</f>
        <v>968.77375000000029</v>
      </c>
      <c r="Q119" s="39">
        <v>15500.380000000005</v>
      </c>
      <c r="R119" s="26"/>
      <c r="S119" s="39">
        <f t="shared" si="28"/>
        <v>-9431.8600000000151</v>
      </c>
      <c r="T119" s="6">
        <v>10069</v>
      </c>
      <c r="U119" s="9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396" t="s">
        <v>238</v>
      </c>
      <c r="B120" s="7" t="s">
        <v>70</v>
      </c>
      <c r="C120" s="26" t="s">
        <v>302</v>
      </c>
      <c r="D120" s="54"/>
      <c r="E120" s="55" t="e">
        <f t="shared" si="26"/>
        <v>#N/A</v>
      </c>
      <c r="F120" s="19" t="e">
        <v>#N/A</v>
      </c>
      <c r="G120" s="56"/>
      <c r="H120" s="55"/>
      <c r="I120" s="19"/>
      <c r="J120" s="26"/>
      <c r="K120" s="55">
        <f>IF($J$97=0,0,L120/(J$94+J$95))</f>
        <v>0</v>
      </c>
      <c r="L120" s="39">
        <v>0</v>
      </c>
      <c r="M120" s="26"/>
      <c r="N120" s="39" t="e">
        <f t="shared" si="27"/>
        <v>#N/A</v>
      </c>
      <c r="O120" s="26"/>
      <c r="P120" s="55">
        <f>IF($J$97=0,0,Q120/(O$94+O$95))</f>
        <v>0</v>
      </c>
      <c r="Q120" s="39">
        <v>0</v>
      </c>
      <c r="R120" s="26"/>
      <c r="S120" s="39">
        <f t="shared" si="28"/>
        <v>0</v>
      </c>
      <c r="T120" s="6"/>
      <c r="U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396" t="s">
        <v>238</v>
      </c>
      <c r="B121" s="7" t="s">
        <v>70</v>
      </c>
      <c r="C121" s="26" t="s">
        <v>303</v>
      </c>
      <c r="D121" s="54"/>
      <c r="E121" s="55" t="e">
        <f t="shared" si="26"/>
        <v>#N/A</v>
      </c>
      <c r="F121" s="19" t="e">
        <v>#N/A</v>
      </c>
      <c r="G121" s="56"/>
      <c r="H121" s="55"/>
      <c r="I121" s="19"/>
      <c r="J121" s="26"/>
      <c r="K121" s="55">
        <f>IF($J$97=0,0,L121/(J$94+J$95))</f>
        <v>-67.48166666666657</v>
      </c>
      <c r="L121" s="39">
        <v>-1619.5599999999977</v>
      </c>
      <c r="M121" s="26"/>
      <c r="N121" s="39" t="e">
        <f t="shared" si="27"/>
        <v>#N/A</v>
      </c>
      <c r="O121" s="26"/>
      <c r="P121" s="55">
        <f>IF($J$97=0,0,Q121/(O$94+O$95))</f>
        <v>0</v>
      </c>
      <c r="Q121" s="39">
        <v>0</v>
      </c>
      <c r="R121" s="26"/>
      <c r="S121" s="39">
        <f t="shared" si="28"/>
        <v>-1619.5599999999977</v>
      </c>
      <c r="T121" s="6">
        <v>-1620</v>
      </c>
      <c r="U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396" t="s">
        <v>238</v>
      </c>
      <c r="B122" s="7" t="s">
        <v>70</v>
      </c>
      <c r="C122" s="26" t="s">
        <v>19</v>
      </c>
      <c r="D122" s="54"/>
      <c r="E122" s="55" t="e">
        <f t="shared" si="26"/>
        <v>#N/A</v>
      </c>
      <c r="F122" s="19" t="e">
        <v>#N/A</v>
      </c>
      <c r="G122" s="56"/>
      <c r="H122" s="55"/>
      <c r="I122" s="19"/>
      <c r="J122" s="26"/>
      <c r="K122" s="55">
        <f>IF($J$97=0,0,L122/(J$94+J$95))</f>
        <v>0</v>
      </c>
      <c r="L122" s="21">
        <v>0</v>
      </c>
      <c r="M122" s="26"/>
      <c r="N122" s="39" t="e">
        <f t="shared" si="27"/>
        <v>#N/A</v>
      </c>
      <c r="O122" s="26"/>
      <c r="P122" s="55">
        <f>IF($J$97=0,0,Q122/(O$94+O$95))</f>
        <v>0</v>
      </c>
      <c r="Q122" s="21">
        <v>0</v>
      </c>
      <c r="R122" s="26"/>
      <c r="S122" s="39">
        <f t="shared" si="28"/>
        <v>0</v>
      </c>
      <c r="T122" s="6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396" t="s">
        <v>239</v>
      </c>
      <c r="B123" s="7" t="s">
        <v>70</v>
      </c>
      <c r="C123" s="139" t="s">
        <v>37</v>
      </c>
      <c r="D123" s="62" t="s">
        <v>38</v>
      </c>
      <c r="E123" s="63" t="e">
        <f>F123/F$109</f>
        <v>#N/A</v>
      </c>
      <c r="F123" s="64" t="e">
        <f>SUM(F113:F122)</f>
        <v>#N/A</v>
      </c>
      <c r="G123" s="65"/>
      <c r="H123" s="63"/>
      <c r="I123" s="64"/>
      <c r="J123" s="65" t="s">
        <v>38</v>
      </c>
      <c r="K123" s="63">
        <f>L123/L$109</f>
        <v>0.80088865276342225</v>
      </c>
      <c r="L123" s="64">
        <f>SUM(L113:L122)</f>
        <v>19295.529999999995</v>
      </c>
      <c r="M123" s="66"/>
      <c r="N123" s="64" t="e">
        <f t="shared" si="27"/>
        <v>#N/A</v>
      </c>
      <c r="O123" s="65" t="s">
        <v>38</v>
      </c>
      <c r="P123" s="63">
        <f>Q123/Q$109</f>
        <v>2.0544537900436195</v>
      </c>
      <c r="Q123" s="64">
        <f>SUM(Q113:Q122)</f>
        <v>68807.150000000023</v>
      </c>
      <c r="R123" s="67"/>
      <c r="S123" s="64">
        <f t="shared" si="28"/>
        <v>-49511.620000000024</v>
      </c>
      <c r="T123" s="6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396" t="s">
        <v>240</v>
      </c>
      <c r="B124" s="7" t="s">
        <v>70</v>
      </c>
      <c r="C124" s="271" t="s">
        <v>40</v>
      </c>
      <c r="D124" s="7"/>
      <c r="E124" s="7"/>
      <c r="F124" s="19" t="e">
        <v>#N/A</v>
      </c>
      <c r="G124" s="26"/>
      <c r="H124" s="7"/>
      <c r="I124" s="19"/>
      <c r="J124" s="26"/>
      <c r="K124" s="7"/>
      <c r="L124" s="39">
        <v>4529.9000000000015</v>
      </c>
      <c r="M124" s="26"/>
      <c r="N124" s="39" t="e">
        <f t="shared" si="27"/>
        <v>#N/A</v>
      </c>
      <c r="O124" s="26"/>
      <c r="P124" s="7"/>
      <c r="Q124" s="39">
        <v>22393.14</v>
      </c>
      <c r="R124" s="26"/>
      <c r="S124" s="39">
        <f t="shared" si="28"/>
        <v>-17863.239999999998</v>
      </c>
      <c r="T124" s="6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396" t="s">
        <v>241</v>
      </c>
      <c r="B125" s="7" t="s">
        <v>70</v>
      </c>
      <c r="C125" s="272" t="s">
        <v>41</v>
      </c>
      <c r="D125" s="54"/>
      <c r="E125" s="7"/>
      <c r="F125" s="31" t="e">
        <v>#N/A</v>
      </c>
      <c r="G125" s="56"/>
      <c r="H125" s="7"/>
      <c r="I125" s="31"/>
      <c r="J125" s="26"/>
      <c r="K125" s="7"/>
      <c r="L125" s="39">
        <v>5717.4700000000012</v>
      </c>
      <c r="M125" s="26"/>
      <c r="N125" s="39" t="e">
        <f t="shared" si="27"/>
        <v>#N/A</v>
      </c>
      <c r="O125" s="26"/>
      <c r="P125" s="7"/>
      <c r="Q125" s="39">
        <v>4606.1400000000031</v>
      </c>
      <c r="R125" s="26"/>
      <c r="S125" s="39">
        <f t="shared" si="28"/>
        <v>1111.3299999999981</v>
      </c>
      <c r="T125" s="6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396" t="s">
        <v>242</v>
      </c>
      <c r="B126" s="7" t="s">
        <v>70</v>
      </c>
      <c r="C126" s="271" t="s">
        <v>42</v>
      </c>
      <c r="D126" s="68"/>
      <c r="E126" s="69"/>
      <c r="F126" s="19" t="e">
        <v>#N/A</v>
      </c>
      <c r="G126" s="70"/>
      <c r="H126" s="69"/>
      <c r="I126" s="19"/>
      <c r="J126" s="71"/>
      <c r="K126" s="69"/>
      <c r="L126" s="72">
        <v>1820.0400000000009</v>
      </c>
      <c r="M126" s="71"/>
      <c r="N126" s="72" t="e">
        <f t="shared" si="27"/>
        <v>#N/A</v>
      </c>
      <c r="O126" s="71"/>
      <c r="P126" s="69"/>
      <c r="Q126" s="72">
        <v>657.71999999999935</v>
      </c>
      <c r="R126" s="71"/>
      <c r="S126" s="72">
        <f t="shared" si="28"/>
        <v>1162.3200000000015</v>
      </c>
      <c r="T126" s="6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396" t="s">
        <v>243</v>
      </c>
      <c r="B127" s="7" t="s">
        <v>70</v>
      </c>
      <c r="C127" s="271" t="s">
        <v>43</v>
      </c>
      <c r="D127" s="54"/>
      <c r="E127" s="7"/>
      <c r="F127" s="19" t="e">
        <v>#N/A</v>
      </c>
      <c r="G127" s="56"/>
      <c r="H127" s="7"/>
      <c r="I127" s="19"/>
      <c r="J127" s="26"/>
      <c r="K127" s="7"/>
      <c r="L127" s="39">
        <v>0</v>
      </c>
      <c r="M127" s="26"/>
      <c r="N127" s="39" t="e">
        <f t="shared" si="27"/>
        <v>#N/A</v>
      </c>
      <c r="O127" s="26"/>
      <c r="P127" s="7"/>
      <c r="Q127" s="39">
        <v>0</v>
      </c>
      <c r="R127" s="26"/>
      <c r="S127" s="39">
        <f t="shared" si="28"/>
        <v>0</v>
      </c>
      <c r="T127" s="6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396" t="s">
        <v>238</v>
      </c>
      <c r="B128" s="7" t="s">
        <v>70</v>
      </c>
      <c r="C128" s="271" t="s">
        <v>19</v>
      </c>
      <c r="D128" s="54"/>
      <c r="E128" s="7"/>
      <c r="F128" s="19" t="e">
        <v>#N/A</v>
      </c>
      <c r="G128" s="56"/>
      <c r="H128" s="7"/>
      <c r="I128" s="19"/>
      <c r="J128" s="26"/>
      <c r="K128" s="7"/>
      <c r="L128" s="39">
        <v>0</v>
      </c>
      <c r="M128" s="26"/>
      <c r="N128" s="39" t="e">
        <f t="shared" si="27"/>
        <v>#N/A</v>
      </c>
      <c r="O128" s="26"/>
      <c r="P128" s="7"/>
      <c r="Q128" s="39">
        <v>0</v>
      </c>
      <c r="R128" s="26"/>
      <c r="S128" s="39">
        <f t="shared" si="28"/>
        <v>0</v>
      </c>
      <c r="T128" s="6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396" t="s">
        <v>238</v>
      </c>
      <c r="B129" s="7" t="s">
        <v>70</v>
      </c>
      <c r="C129" s="271" t="s">
        <v>19</v>
      </c>
      <c r="D129" s="54"/>
      <c r="E129" s="7"/>
      <c r="F129" s="19" t="e">
        <v>#N/A</v>
      </c>
      <c r="G129" s="56"/>
      <c r="H129" s="7"/>
      <c r="I129" s="19"/>
      <c r="J129" s="26"/>
      <c r="K129" s="7"/>
      <c r="L129" s="39">
        <v>0</v>
      </c>
      <c r="M129" s="26"/>
      <c r="N129" s="39" t="e">
        <f t="shared" si="27"/>
        <v>#N/A</v>
      </c>
      <c r="O129" s="26"/>
      <c r="P129" s="7"/>
      <c r="Q129" s="39">
        <v>0</v>
      </c>
      <c r="R129" s="26"/>
      <c r="S129" s="39">
        <f t="shared" si="28"/>
        <v>0</v>
      </c>
      <c r="T129" s="6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396" t="s">
        <v>238</v>
      </c>
      <c r="B130" s="7" t="s">
        <v>70</v>
      </c>
      <c r="C130" s="271" t="s">
        <v>19</v>
      </c>
      <c r="D130" s="54"/>
      <c r="E130" s="7"/>
      <c r="F130" s="19" t="e">
        <v>#N/A</v>
      </c>
      <c r="G130" s="56"/>
      <c r="H130" s="7"/>
      <c r="I130" s="19"/>
      <c r="J130" s="26"/>
      <c r="K130" s="7"/>
      <c r="L130" s="39">
        <v>0</v>
      </c>
      <c r="M130" s="26"/>
      <c r="N130" s="39" t="e">
        <f t="shared" si="27"/>
        <v>#N/A</v>
      </c>
      <c r="O130" s="26"/>
      <c r="P130" s="7"/>
      <c r="Q130" s="39">
        <v>0</v>
      </c>
      <c r="R130" s="26"/>
      <c r="S130" s="39">
        <f t="shared" si="28"/>
        <v>0</v>
      </c>
      <c r="T130" s="6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396" t="s">
        <v>244</v>
      </c>
      <c r="B131" s="7" t="s">
        <v>70</v>
      </c>
      <c r="C131" s="272" t="s">
        <v>44</v>
      </c>
      <c r="D131" s="54"/>
      <c r="E131" s="7"/>
      <c r="F131" s="19" t="e">
        <v>#N/A</v>
      </c>
      <c r="G131" s="56"/>
      <c r="H131" s="7"/>
      <c r="I131" s="19"/>
      <c r="J131" s="26"/>
      <c r="K131" s="7"/>
      <c r="L131" s="39">
        <v>2317.4499999999971</v>
      </c>
      <c r="M131" s="26"/>
      <c r="N131" s="39" t="e">
        <f t="shared" si="27"/>
        <v>#N/A</v>
      </c>
      <c r="O131" s="26"/>
      <c r="P131" s="7"/>
      <c r="Q131" s="39">
        <v>259.63000000000102</v>
      </c>
      <c r="R131" s="26"/>
      <c r="S131" s="39">
        <f t="shared" si="28"/>
        <v>2057.8199999999961</v>
      </c>
      <c r="T131" s="6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396" t="s">
        <v>245</v>
      </c>
      <c r="B132" s="7" t="s">
        <v>70</v>
      </c>
      <c r="C132" s="271" t="s">
        <v>45</v>
      </c>
      <c r="D132" s="68"/>
      <c r="E132" s="69"/>
      <c r="F132" s="35" t="e">
        <v>#N/A</v>
      </c>
      <c r="G132" s="70"/>
      <c r="H132" s="69"/>
      <c r="I132" s="35"/>
      <c r="J132" s="71"/>
      <c r="K132" s="69"/>
      <c r="L132" s="72">
        <v>6141.32</v>
      </c>
      <c r="M132" s="71"/>
      <c r="N132" s="72" t="e">
        <f t="shared" si="27"/>
        <v>#N/A</v>
      </c>
      <c r="O132" s="71"/>
      <c r="P132" s="69"/>
      <c r="Q132" s="72">
        <v>3143.0699999999997</v>
      </c>
      <c r="R132" s="71"/>
      <c r="S132" s="72">
        <f t="shared" si="28"/>
        <v>2998.25</v>
      </c>
      <c r="T132" s="6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396" t="s">
        <v>246</v>
      </c>
      <c r="B133" s="7" t="s">
        <v>70</v>
      </c>
      <c r="C133" s="271" t="s">
        <v>46</v>
      </c>
      <c r="D133" s="54"/>
      <c r="E133" s="7"/>
      <c r="F133" s="19" t="e">
        <v>#N/A</v>
      </c>
      <c r="G133" s="56"/>
      <c r="H133" s="7"/>
      <c r="I133" s="19"/>
      <c r="J133" s="26"/>
      <c r="K133" s="7"/>
      <c r="L133" s="39">
        <v>599.45999999999913</v>
      </c>
      <c r="M133" s="26"/>
      <c r="N133" s="39" t="e">
        <f t="shared" si="27"/>
        <v>#N/A</v>
      </c>
      <c r="O133" s="26"/>
      <c r="P133" s="7"/>
      <c r="Q133" s="39">
        <v>2068.2799999999988</v>
      </c>
      <c r="R133" s="26"/>
      <c r="S133" s="39">
        <f t="shared" si="28"/>
        <v>-1468.8199999999997</v>
      </c>
      <c r="T133" s="6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396" t="s">
        <v>247</v>
      </c>
      <c r="B134" s="7" t="s">
        <v>70</v>
      </c>
      <c r="C134" s="271" t="s">
        <v>47</v>
      </c>
      <c r="D134" s="54"/>
      <c r="E134" s="7"/>
      <c r="F134" s="19" t="e">
        <v>#N/A</v>
      </c>
      <c r="G134" s="56"/>
      <c r="H134" s="7"/>
      <c r="I134" s="19"/>
      <c r="J134" s="26"/>
      <c r="K134" s="7"/>
      <c r="L134" s="39">
        <v>2602.66</v>
      </c>
      <c r="M134" s="26"/>
      <c r="N134" s="39" t="e">
        <f t="shared" si="27"/>
        <v>#N/A</v>
      </c>
      <c r="O134" s="26"/>
      <c r="P134" s="7"/>
      <c r="Q134" s="39">
        <v>12.640000000000015</v>
      </c>
      <c r="R134" s="26"/>
      <c r="S134" s="39">
        <f t="shared" si="28"/>
        <v>2590.02</v>
      </c>
      <c r="T134" s="6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396" t="s">
        <v>238</v>
      </c>
      <c r="B135" s="7" t="s">
        <v>70</v>
      </c>
      <c r="C135" s="26" t="s">
        <v>19</v>
      </c>
      <c r="D135" s="57"/>
      <c r="E135" s="73"/>
      <c r="F135" s="19" t="e">
        <v>#N/A</v>
      </c>
      <c r="G135" s="59"/>
      <c r="H135" s="73"/>
      <c r="I135" s="19"/>
      <c r="J135" s="14"/>
      <c r="K135" s="73"/>
      <c r="L135" s="39">
        <v>0</v>
      </c>
      <c r="M135" s="14"/>
      <c r="N135" s="61" t="e">
        <f t="shared" si="27"/>
        <v>#N/A</v>
      </c>
      <c r="O135" s="14"/>
      <c r="P135" s="73"/>
      <c r="Q135" s="39">
        <v>0</v>
      </c>
      <c r="R135" s="14"/>
      <c r="S135" s="61">
        <f t="shared" si="28"/>
        <v>0</v>
      </c>
      <c r="T135" s="6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396" t="s">
        <v>248</v>
      </c>
      <c r="B136" s="7" t="s">
        <v>70</v>
      </c>
      <c r="C136" s="139" t="s">
        <v>48</v>
      </c>
      <c r="D136" s="62" t="s">
        <v>38</v>
      </c>
      <c r="E136" s="63" t="e">
        <f>F136/F$109</f>
        <v>#N/A</v>
      </c>
      <c r="F136" s="64" t="e">
        <f>+SUM(F124:F135)</f>
        <v>#N/A</v>
      </c>
      <c r="G136" s="65"/>
      <c r="H136" s="63"/>
      <c r="I136" s="64"/>
      <c r="J136" s="65" t="s">
        <v>38</v>
      </c>
      <c r="K136" s="63">
        <f>L136/L$109</f>
        <v>0.98487713057720183</v>
      </c>
      <c r="L136" s="64">
        <f>SUM(L124:L135)</f>
        <v>23728.3</v>
      </c>
      <c r="M136" s="66"/>
      <c r="N136" s="64" t="e">
        <f t="shared" si="27"/>
        <v>#N/A</v>
      </c>
      <c r="O136" s="65" t="s">
        <v>38</v>
      </c>
      <c r="P136" s="63">
        <f>Q136/Q$109</f>
        <v>0.98951740281926137</v>
      </c>
      <c r="Q136" s="64">
        <f>SUM(Q124:Q135)</f>
        <v>33140.619999999995</v>
      </c>
      <c r="R136" s="67"/>
      <c r="S136" s="64">
        <f t="shared" si="28"/>
        <v>-9412.3199999999961</v>
      </c>
      <c r="T136" s="6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396" t="s">
        <v>249</v>
      </c>
      <c r="B137" s="7" t="s">
        <v>70</v>
      </c>
      <c r="C137" s="26" t="s">
        <v>49</v>
      </c>
      <c r="D137" s="54"/>
      <c r="E137" s="7"/>
      <c r="F137" s="19" t="e">
        <v>#N/A</v>
      </c>
      <c r="G137" s="56"/>
      <c r="H137" s="7"/>
      <c r="I137" s="19"/>
      <c r="J137" s="26"/>
      <c r="K137" s="7"/>
      <c r="L137" s="39">
        <v>0</v>
      </c>
      <c r="M137" s="26"/>
      <c r="N137" s="39" t="e">
        <f t="shared" si="27"/>
        <v>#N/A</v>
      </c>
      <c r="O137" s="26"/>
      <c r="P137" s="7"/>
      <c r="Q137" s="39">
        <v>0</v>
      </c>
      <c r="R137" s="26"/>
      <c r="S137" s="39">
        <f t="shared" si="28"/>
        <v>0</v>
      </c>
      <c r="T137" s="6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396" t="s">
        <v>250</v>
      </c>
      <c r="B138" s="7" t="s">
        <v>70</v>
      </c>
      <c r="C138" s="26" t="s">
        <v>50</v>
      </c>
      <c r="D138" s="54"/>
      <c r="E138" s="7"/>
      <c r="F138" s="19" t="e">
        <v>#N/A</v>
      </c>
      <c r="G138" s="56"/>
      <c r="H138" s="7"/>
      <c r="I138" s="19"/>
      <c r="J138" s="26"/>
      <c r="K138" s="7"/>
      <c r="L138" s="39">
        <v>0</v>
      </c>
      <c r="M138" s="26"/>
      <c r="N138" s="39" t="e">
        <f t="shared" si="27"/>
        <v>#N/A</v>
      </c>
      <c r="O138" s="26"/>
      <c r="P138" s="7"/>
      <c r="Q138" s="39">
        <v>0</v>
      </c>
      <c r="R138" s="26"/>
      <c r="S138" s="39">
        <f t="shared" si="28"/>
        <v>0</v>
      </c>
      <c r="T138" s="6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396" t="s">
        <v>251</v>
      </c>
      <c r="B139" s="7" t="s">
        <v>70</v>
      </c>
      <c r="C139" s="14" t="s">
        <v>51</v>
      </c>
      <c r="D139" s="57"/>
      <c r="E139" s="73"/>
      <c r="F139" s="31" t="e">
        <v>#N/A</v>
      </c>
      <c r="G139" s="59"/>
      <c r="H139" s="73"/>
      <c r="I139" s="31"/>
      <c r="J139" s="14"/>
      <c r="K139" s="73"/>
      <c r="L139" s="61">
        <v>1599.0300000000025</v>
      </c>
      <c r="M139" s="14"/>
      <c r="N139" s="61" t="e">
        <f t="shared" si="27"/>
        <v>#N/A</v>
      </c>
      <c r="O139" s="14"/>
      <c r="P139" s="73"/>
      <c r="Q139" s="61">
        <v>1215.6599999999999</v>
      </c>
      <c r="R139" s="14"/>
      <c r="S139" s="61">
        <f t="shared" si="28"/>
        <v>383.37000000000262</v>
      </c>
      <c r="T139" s="6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396" t="s">
        <v>252</v>
      </c>
      <c r="B140" s="7" t="s">
        <v>70</v>
      </c>
      <c r="C140" s="26" t="s">
        <v>52</v>
      </c>
      <c r="D140" s="54"/>
      <c r="E140" s="7"/>
      <c r="F140" s="19" t="e">
        <v>#N/A</v>
      </c>
      <c r="G140" s="56"/>
      <c r="H140" s="7"/>
      <c r="I140" s="19"/>
      <c r="J140" s="26"/>
      <c r="K140" s="7"/>
      <c r="L140" s="39">
        <v>2309.1100000000006</v>
      </c>
      <c r="M140" s="26"/>
      <c r="N140" s="39" t="e">
        <f t="shared" si="27"/>
        <v>#N/A</v>
      </c>
      <c r="O140" s="26"/>
      <c r="P140" s="7"/>
      <c r="Q140" s="39">
        <v>2486.8500000000004</v>
      </c>
      <c r="R140" s="26"/>
      <c r="S140" s="39">
        <f t="shared" si="28"/>
        <v>-177.73999999999978</v>
      </c>
      <c r="T140" s="6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396" t="s">
        <v>253</v>
      </c>
      <c r="B141" s="7" t="s">
        <v>70</v>
      </c>
      <c r="C141" s="26" t="s">
        <v>53</v>
      </c>
      <c r="D141" s="54"/>
      <c r="E141" s="7"/>
      <c r="F141" s="19" t="e">
        <v>#N/A</v>
      </c>
      <c r="G141" s="56"/>
      <c r="H141" s="7"/>
      <c r="I141" s="19"/>
      <c r="J141" s="26"/>
      <c r="K141" s="7"/>
      <c r="L141" s="39">
        <v>557.3799999999992</v>
      </c>
      <c r="M141" s="26"/>
      <c r="N141" s="39" t="e">
        <f t="shared" si="27"/>
        <v>#N/A</v>
      </c>
      <c r="O141" s="26"/>
      <c r="P141" s="7"/>
      <c r="Q141" s="39">
        <v>300</v>
      </c>
      <c r="R141" s="26"/>
      <c r="S141" s="39">
        <f t="shared" si="28"/>
        <v>257.3799999999992</v>
      </c>
      <c r="T141" s="407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396" t="s">
        <v>254</v>
      </c>
      <c r="B142" s="7" t="s">
        <v>70</v>
      </c>
      <c r="C142" s="14" t="s">
        <v>54</v>
      </c>
      <c r="D142" s="57"/>
      <c r="E142" s="73"/>
      <c r="F142" s="31" t="e">
        <v>#N/A</v>
      </c>
      <c r="G142" s="59"/>
      <c r="H142" s="73"/>
      <c r="I142" s="31"/>
      <c r="J142" s="14"/>
      <c r="K142" s="73"/>
      <c r="L142" s="61">
        <v>1991.3199999999997</v>
      </c>
      <c r="M142" s="14"/>
      <c r="N142" s="61" t="e">
        <f t="shared" si="27"/>
        <v>#N/A</v>
      </c>
      <c r="O142" s="14"/>
      <c r="P142" s="73"/>
      <c r="Q142" s="61">
        <v>4577.630000000001</v>
      </c>
      <c r="R142" s="14"/>
      <c r="S142" s="61">
        <f t="shared" si="28"/>
        <v>-2586.3100000000013</v>
      </c>
      <c r="T142" s="6"/>
      <c r="U142" s="9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396" t="s">
        <v>255</v>
      </c>
      <c r="B143" s="7" t="s">
        <v>70</v>
      </c>
      <c r="C143" s="26" t="s">
        <v>55</v>
      </c>
      <c r="D143" s="54"/>
      <c r="E143" s="7"/>
      <c r="F143" s="19" t="e">
        <v>#N/A</v>
      </c>
      <c r="G143" s="56"/>
      <c r="H143" s="7"/>
      <c r="I143" s="19"/>
      <c r="J143" s="26"/>
      <c r="K143" s="7"/>
      <c r="L143" s="39">
        <v>64.910000000000082</v>
      </c>
      <c r="M143" s="26"/>
      <c r="N143" s="39" t="e">
        <f t="shared" si="27"/>
        <v>#N/A</v>
      </c>
      <c r="O143" s="26"/>
      <c r="P143" s="7"/>
      <c r="Q143" s="39">
        <v>159.18000000000006</v>
      </c>
      <c r="R143" s="26"/>
      <c r="S143" s="39">
        <f t="shared" si="28"/>
        <v>-94.269999999999982</v>
      </c>
      <c r="T143" s="6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396" t="s">
        <v>256</v>
      </c>
      <c r="B144" s="7" t="s">
        <v>70</v>
      </c>
      <c r="C144" s="26" t="s">
        <v>56</v>
      </c>
      <c r="D144" s="54"/>
      <c r="E144" s="7"/>
      <c r="F144" s="19" t="e">
        <v>#N/A</v>
      </c>
      <c r="G144" s="56"/>
      <c r="H144" s="7"/>
      <c r="I144" s="19"/>
      <c r="J144" s="26"/>
      <c r="K144" s="7"/>
      <c r="L144" s="39">
        <v>0</v>
      </c>
      <c r="M144" s="26"/>
      <c r="N144" s="39" t="e">
        <f t="shared" si="27"/>
        <v>#N/A</v>
      </c>
      <c r="O144" s="26"/>
      <c r="P144" s="7"/>
      <c r="Q144" s="39">
        <v>0</v>
      </c>
      <c r="R144" s="26"/>
      <c r="S144" s="39">
        <f t="shared" si="28"/>
        <v>0</v>
      </c>
      <c r="T144" s="6"/>
      <c r="U144" s="9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396" t="s">
        <v>257</v>
      </c>
      <c r="B145" s="7" t="s">
        <v>70</v>
      </c>
      <c r="C145" s="26" t="s">
        <v>57</v>
      </c>
      <c r="D145" s="54"/>
      <c r="E145" s="7"/>
      <c r="F145" s="19" t="e">
        <v>#N/A</v>
      </c>
      <c r="G145" s="56"/>
      <c r="H145" s="7"/>
      <c r="I145" s="19"/>
      <c r="J145" s="26"/>
      <c r="K145" s="7"/>
      <c r="L145" s="39">
        <v>811.39000000000033</v>
      </c>
      <c r="M145" s="26"/>
      <c r="N145" s="39" t="e">
        <f t="shared" si="27"/>
        <v>#N/A</v>
      </c>
      <c r="O145" s="26"/>
      <c r="P145" s="7"/>
      <c r="Q145" s="39">
        <v>670.91000000000076</v>
      </c>
      <c r="R145" s="26"/>
      <c r="S145" s="39">
        <f t="shared" si="28"/>
        <v>140.47999999999956</v>
      </c>
      <c r="T145" s="6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396" t="s">
        <v>258</v>
      </c>
      <c r="B146" s="7" t="s">
        <v>70</v>
      </c>
      <c r="C146" s="26" t="s">
        <v>58</v>
      </c>
      <c r="D146" s="54"/>
      <c r="E146" s="7"/>
      <c r="F146" s="19" t="e">
        <v>#N/A</v>
      </c>
      <c r="G146" s="56"/>
      <c r="H146" s="7"/>
      <c r="I146" s="19"/>
      <c r="J146" s="26"/>
      <c r="K146" s="7"/>
      <c r="L146" s="39">
        <v>448.22999999999956</v>
      </c>
      <c r="M146" s="26"/>
      <c r="N146" s="39" t="e">
        <f t="shared" si="27"/>
        <v>#N/A</v>
      </c>
      <c r="O146" s="26"/>
      <c r="P146" s="7"/>
      <c r="Q146" s="39">
        <v>646.51999999999953</v>
      </c>
      <c r="R146" s="26"/>
      <c r="S146" s="39">
        <f t="shared" si="28"/>
        <v>-198.28999999999996</v>
      </c>
      <c r="T146" s="6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396" t="s">
        <v>259</v>
      </c>
      <c r="B147" s="7" t="s">
        <v>70</v>
      </c>
      <c r="C147" s="26" t="s">
        <v>59</v>
      </c>
      <c r="D147" s="54"/>
      <c r="E147" s="7"/>
      <c r="F147" s="19" t="e">
        <v>#N/A</v>
      </c>
      <c r="G147" s="56"/>
      <c r="H147" s="7"/>
      <c r="I147" s="19"/>
      <c r="J147" s="26"/>
      <c r="K147" s="7"/>
      <c r="L147" s="39">
        <v>800.47999999999956</v>
      </c>
      <c r="M147" s="26"/>
      <c r="N147" s="39" t="e">
        <f t="shared" si="27"/>
        <v>#N/A</v>
      </c>
      <c r="O147" s="26"/>
      <c r="P147" s="7"/>
      <c r="Q147" s="39">
        <v>1339.9899999999998</v>
      </c>
      <c r="R147" s="26"/>
      <c r="S147" s="39">
        <f t="shared" si="28"/>
        <v>-539.51000000000022</v>
      </c>
      <c r="T147" s="6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396" t="s">
        <v>260</v>
      </c>
      <c r="B148" s="7" t="s">
        <v>70</v>
      </c>
      <c r="C148" s="26" t="s">
        <v>60</v>
      </c>
      <c r="D148" s="54"/>
      <c r="E148" s="7"/>
      <c r="F148" s="19" t="e">
        <v>#N/A</v>
      </c>
      <c r="G148" s="56"/>
      <c r="H148" s="7"/>
      <c r="I148" s="19"/>
      <c r="J148" s="26"/>
      <c r="K148" s="7"/>
      <c r="L148" s="39">
        <v>1644.9400000000005</v>
      </c>
      <c r="M148" s="26"/>
      <c r="N148" s="39" t="e">
        <f t="shared" si="27"/>
        <v>#N/A</v>
      </c>
      <c r="O148" s="26"/>
      <c r="P148" s="7"/>
      <c r="Q148" s="39">
        <v>2500.1800000000003</v>
      </c>
      <c r="R148" s="26"/>
      <c r="S148" s="39">
        <f t="shared" si="28"/>
        <v>-855.23999999999978</v>
      </c>
      <c r="T148" s="6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396" t="s">
        <v>261</v>
      </c>
      <c r="B149" s="7" t="s">
        <v>70</v>
      </c>
      <c r="C149" s="26" t="s">
        <v>61</v>
      </c>
      <c r="D149" s="54"/>
      <c r="E149" s="7"/>
      <c r="F149" s="19" t="e">
        <v>#N/A</v>
      </c>
      <c r="G149" s="56"/>
      <c r="H149" s="7"/>
      <c r="I149" s="19"/>
      <c r="J149" s="26"/>
      <c r="K149" s="7"/>
      <c r="L149" s="39">
        <v>0</v>
      </c>
      <c r="M149" s="26"/>
      <c r="N149" s="39" t="e">
        <f t="shared" si="27"/>
        <v>#N/A</v>
      </c>
      <c r="O149" s="26"/>
      <c r="P149" s="7"/>
      <c r="Q149" s="39">
        <v>0</v>
      </c>
      <c r="R149" s="26"/>
      <c r="S149" s="39">
        <f t="shared" si="28"/>
        <v>0</v>
      </c>
      <c r="T149" s="6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396" t="s">
        <v>262</v>
      </c>
      <c r="B150" s="7" t="s">
        <v>70</v>
      </c>
      <c r="C150" s="26" t="s">
        <v>62</v>
      </c>
      <c r="D150" s="54"/>
      <c r="E150" s="7"/>
      <c r="F150" s="19" t="e">
        <v>#N/A</v>
      </c>
      <c r="G150" s="56"/>
      <c r="H150" s="7"/>
      <c r="I150" s="19"/>
      <c r="J150" s="26"/>
      <c r="K150" s="7"/>
      <c r="L150" s="39">
        <v>1025.6300000000001</v>
      </c>
      <c r="M150" s="26"/>
      <c r="N150" s="39" t="e">
        <f t="shared" si="27"/>
        <v>#N/A</v>
      </c>
      <c r="O150" s="26"/>
      <c r="P150" s="7"/>
      <c r="Q150" s="39">
        <v>191.58999999999992</v>
      </c>
      <c r="R150" s="26"/>
      <c r="S150" s="39">
        <f t="shared" si="28"/>
        <v>834.04000000000019</v>
      </c>
      <c r="T150" s="9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396" t="s">
        <v>238</v>
      </c>
      <c r="B151" s="7" t="s">
        <v>70</v>
      </c>
      <c r="C151" s="26" t="s">
        <v>19</v>
      </c>
      <c r="D151" s="54"/>
      <c r="E151" s="7"/>
      <c r="F151" s="19" t="e">
        <v>#N/A</v>
      </c>
      <c r="G151" s="56"/>
      <c r="H151" s="7"/>
      <c r="I151" s="19"/>
      <c r="J151" s="26"/>
      <c r="K151" s="7"/>
      <c r="L151" s="39">
        <v>0</v>
      </c>
      <c r="M151" s="26"/>
      <c r="N151" s="39" t="e">
        <f t="shared" si="27"/>
        <v>#N/A</v>
      </c>
      <c r="O151" s="26"/>
      <c r="P151" s="7"/>
      <c r="Q151" s="39">
        <v>0</v>
      </c>
      <c r="R151" s="26"/>
      <c r="S151" s="39">
        <f t="shared" si="28"/>
        <v>0</v>
      </c>
      <c r="T151" s="6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396" t="s">
        <v>238</v>
      </c>
      <c r="B152" s="7" t="s">
        <v>70</v>
      </c>
      <c r="C152" s="26" t="s">
        <v>19</v>
      </c>
      <c r="D152" s="54"/>
      <c r="E152" s="7"/>
      <c r="F152" s="19" t="e">
        <v>#N/A</v>
      </c>
      <c r="G152" s="56"/>
      <c r="H152" s="7"/>
      <c r="I152" s="19"/>
      <c r="J152" s="26"/>
      <c r="K152" s="7"/>
      <c r="L152" s="39">
        <v>0</v>
      </c>
      <c r="M152" s="26"/>
      <c r="N152" s="39" t="e">
        <f t="shared" si="27"/>
        <v>#N/A</v>
      </c>
      <c r="O152" s="26"/>
      <c r="P152" s="7"/>
      <c r="Q152" s="39">
        <v>0</v>
      </c>
      <c r="R152" s="26"/>
      <c r="S152" s="39">
        <f t="shared" si="28"/>
        <v>0</v>
      </c>
      <c r="T152" s="6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396" t="s">
        <v>238</v>
      </c>
      <c r="B153" s="7" t="s">
        <v>70</v>
      </c>
      <c r="C153" s="26" t="s">
        <v>19</v>
      </c>
      <c r="D153" s="54"/>
      <c r="E153" s="7"/>
      <c r="F153" s="19" t="e">
        <v>#N/A</v>
      </c>
      <c r="G153" s="56"/>
      <c r="H153" s="7"/>
      <c r="I153" s="19"/>
      <c r="J153" s="26"/>
      <c r="K153" s="7"/>
      <c r="L153" s="39">
        <v>0</v>
      </c>
      <c r="M153" s="26"/>
      <c r="N153" s="39" t="e">
        <f t="shared" si="27"/>
        <v>#N/A</v>
      </c>
      <c r="O153" s="26"/>
      <c r="P153" s="7"/>
      <c r="Q153" s="39">
        <v>0</v>
      </c>
      <c r="R153" s="26"/>
      <c r="S153" s="39">
        <f t="shared" si="28"/>
        <v>0</v>
      </c>
      <c r="T153" s="9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396" t="s">
        <v>263</v>
      </c>
      <c r="B154" s="7" t="s">
        <v>70</v>
      </c>
      <c r="C154" s="139" t="s">
        <v>63</v>
      </c>
      <c r="D154" s="62" t="s">
        <v>38</v>
      </c>
      <c r="E154" s="63" t="e">
        <f>F154/F$109</f>
        <v>#N/A</v>
      </c>
      <c r="F154" s="64" t="e">
        <f>+SUM(F137:F153)</f>
        <v>#N/A</v>
      </c>
      <c r="G154" s="65"/>
      <c r="H154" s="63"/>
      <c r="I154" s="64"/>
      <c r="J154" s="65" t="s">
        <v>38</v>
      </c>
      <c r="K154" s="63">
        <f>L154/L$109</f>
        <v>0.46704783409049616</v>
      </c>
      <c r="L154" s="64">
        <f>+SUM(L137:L153)</f>
        <v>11252.420000000002</v>
      </c>
      <c r="M154" s="66"/>
      <c r="N154" s="64" t="e">
        <f t="shared" si="27"/>
        <v>#N/A</v>
      </c>
      <c r="O154" s="65" t="s">
        <v>38</v>
      </c>
      <c r="P154" s="63">
        <f>Q154/Q$109</f>
        <v>0.4206567597345251</v>
      </c>
      <c r="Q154" s="64">
        <f>+SUM(Q137:Q153)</f>
        <v>14088.510000000004</v>
      </c>
      <c r="R154" s="67"/>
      <c r="S154" s="64">
        <f t="shared" si="28"/>
        <v>-2836.090000000002</v>
      </c>
      <c r="T154" s="6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396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406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396" t="s">
        <v>264</v>
      </c>
      <c r="B156" s="7" t="s">
        <v>70</v>
      </c>
      <c r="C156" s="139" t="s">
        <v>64</v>
      </c>
      <c r="D156" s="62" t="s">
        <v>38</v>
      </c>
      <c r="E156" s="63" t="e">
        <f>F156/F$109</f>
        <v>#N/A</v>
      </c>
      <c r="F156" s="64" t="e">
        <f>F123+F136+F154</f>
        <v>#N/A</v>
      </c>
      <c r="G156" s="65"/>
      <c r="H156" s="63"/>
      <c r="I156" s="64"/>
      <c r="J156" s="65" t="s">
        <v>38</v>
      </c>
      <c r="K156" s="63">
        <f>L156/L$109</f>
        <v>2.2528136174311202</v>
      </c>
      <c r="L156" s="64">
        <f>L123+L136+L154</f>
        <v>54276.25</v>
      </c>
      <c r="M156" s="66"/>
      <c r="N156" s="64" t="e">
        <f t="shared" ref="N156:N163" si="29">L156-F156</f>
        <v>#N/A</v>
      </c>
      <c r="O156" s="65" t="s">
        <v>38</v>
      </c>
      <c r="P156" s="63">
        <f>Q156/Q$109</f>
        <v>3.464627952597406</v>
      </c>
      <c r="Q156" s="64">
        <f>Q123+Q136+Q154</f>
        <v>116036.28000000003</v>
      </c>
      <c r="R156" s="67"/>
      <c r="S156" s="64">
        <f t="shared" si="28"/>
        <v>-61760.030000000028</v>
      </c>
      <c r="T156" s="6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396" t="s">
        <v>265</v>
      </c>
      <c r="B157" s="7" t="s">
        <v>70</v>
      </c>
      <c r="C157" s="300" t="s">
        <v>266</v>
      </c>
      <c r="D157" s="94"/>
      <c r="E157" s="95"/>
      <c r="F157" s="19" t="e">
        <v>#N/A</v>
      </c>
      <c r="G157" s="96"/>
      <c r="H157" s="95"/>
      <c r="I157" s="19"/>
      <c r="J157" s="96"/>
      <c r="K157" s="95"/>
      <c r="L157" s="39">
        <v>0</v>
      </c>
      <c r="M157" s="26"/>
      <c r="N157" s="39" t="e">
        <f t="shared" si="29"/>
        <v>#N/A</v>
      </c>
      <c r="O157" s="96"/>
      <c r="P157" s="95"/>
      <c r="Q157" s="39">
        <v>0</v>
      </c>
      <c r="R157" s="26"/>
      <c r="S157" s="39">
        <f t="shared" si="28"/>
        <v>0</v>
      </c>
      <c r="T157" s="406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396" t="s">
        <v>267</v>
      </c>
      <c r="B158" s="7" t="s">
        <v>70</v>
      </c>
      <c r="C158" s="300" t="s">
        <v>268</v>
      </c>
      <c r="D158" s="94"/>
      <c r="E158" s="95"/>
      <c r="F158" s="19" t="e">
        <v>#N/A</v>
      </c>
      <c r="G158" s="96"/>
      <c r="H158" s="95"/>
      <c r="I158" s="19"/>
      <c r="J158" s="96"/>
      <c r="K158" s="95"/>
      <c r="L158" s="39">
        <v>0</v>
      </c>
      <c r="M158" s="26"/>
      <c r="N158" s="39" t="e">
        <f t="shared" si="29"/>
        <v>#N/A</v>
      </c>
      <c r="O158" s="96"/>
      <c r="P158" s="95"/>
      <c r="Q158" s="39">
        <v>0</v>
      </c>
      <c r="R158" s="26"/>
      <c r="S158" s="39">
        <f t="shared" si="28"/>
        <v>0</v>
      </c>
      <c r="T158" s="406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396" t="s">
        <v>269</v>
      </c>
      <c r="B159" s="7" t="s">
        <v>70</v>
      </c>
      <c r="C159" s="300" t="s">
        <v>77</v>
      </c>
      <c r="D159" s="54"/>
      <c r="E159" s="7"/>
      <c r="F159" s="19" t="e">
        <v>#N/A</v>
      </c>
      <c r="G159" s="56"/>
      <c r="H159" s="7"/>
      <c r="I159" s="19"/>
      <c r="J159" s="26"/>
      <c r="K159" s="7"/>
      <c r="L159" s="39">
        <v>0</v>
      </c>
      <c r="M159" s="26"/>
      <c r="N159" s="39" t="e">
        <f t="shared" si="29"/>
        <v>#N/A</v>
      </c>
      <c r="O159" s="26"/>
      <c r="P159" s="7"/>
      <c r="Q159" s="39">
        <v>0</v>
      </c>
      <c r="R159" s="26"/>
      <c r="S159" s="39">
        <f t="shared" si="28"/>
        <v>0</v>
      </c>
      <c r="T159" s="406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396" t="s">
        <v>270</v>
      </c>
      <c r="B160" s="7" t="s">
        <v>70</v>
      </c>
      <c r="C160" s="26" t="s">
        <v>67</v>
      </c>
      <c r="D160" s="311" t="e">
        <f>E160/474</f>
        <v>#N/A</v>
      </c>
      <c r="E160" s="274" t="e">
        <f>F160/D97</f>
        <v>#N/A</v>
      </c>
      <c r="F160" s="19" t="e">
        <v>#N/A</v>
      </c>
      <c r="G160" s="56"/>
      <c r="H160" s="7"/>
      <c r="I160" s="19"/>
      <c r="J160" s="275">
        <f>K160/500</f>
        <v>0.59369499999999975</v>
      </c>
      <c r="K160" s="274">
        <f>L160/J97</f>
        <v>296.84749999999985</v>
      </c>
      <c r="L160" s="39">
        <v>7124.3399999999965</v>
      </c>
      <c r="M160" s="26"/>
      <c r="N160" s="39" t="e">
        <f t="shared" si="29"/>
        <v>#N/A</v>
      </c>
      <c r="O160" s="275">
        <f>P160/500</f>
        <v>0</v>
      </c>
      <c r="P160" s="274">
        <f>Q160/O97</f>
        <v>0</v>
      </c>
      <c r="Q160" s="39">
        <v>0</v>
      </c>
      <c r="R160" s="26"/>
      <c r="S160" s="39">
        <f t="shared" si="28"/>
        <v>7124.3399999999965</v>
      </c>
      <c r="T160" s="406">
        <f>14*500</f>
        <v>7000</v>
      </c>
      <c r="U160" s="6" t="s">
        <v>512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396" t="s">
        <v>238</v>
      </c>
      <c r="B161" s="7" t="s">
        <v>70</v>
      </c>
      <c r="C161" s="26" t="s">
        <v>19</v>
      </c>
      <c r="D161" s="54"/>
      <c r="E161" s="7"/>
      <c r="F161" s="19" t="e">
        <v>#N/A</v>
      </c>
      <c r="G161" s="56"/>
      <c r="H161" s="7"/>
      <c r="I161" s="19"/>
      <c r="J161" s="26"/>
      <c r="K161" s="7"/>
      <c r="L161" s="39">
        <v>0</v>
      </c>
      <c r="M161" s="26"/>
      <c r="N161" s="39" t="e">
        <f t="shared" si="29"/>
        <v>#N/A</v>
      </c>
      <c r="O161" s="26"/>
      <c r="P161" s="7"/>
      <c r="Q161" s="39">
        <v>0</v>
      </c>
      <c r="R161" s="26"/>
      <c r="S161" s="39">
        <f t="shared" si="28"/>
        <v>0</v>
      </c>
      <c r="T161" s="406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396" t="s">
        <v>238</v>
      </c>
      <c r="B162" s="7" t="s">
        <v>70</v>
      </c>
      <c r="C162" s="26" t="s">
        <v>19</v>
      </c>
      <c r="D162" s="54"/>
      <c r="E162" s="7"/>
      <c r="F162" s="19" t="e">
        <v>#N/A</v>
      </c>
      <c r="G162" s="56"/>
      <c r="H162" s="7"/>
      <c r="I162" s="19"/>
      <c r="J162" s="26"/>
      <c r="K162" s="7"/>
      <c r="L162" s="39">
        <v>0</v>
      </c>
      <c r="M162" s="26"/>
      <c r="N162" s="39" t="e">
        <f t="shared" si="29"/>
        <v>#N/A</v>
      </c>
      <c r="O162" s="26"/>
      <c r="P162" s="7"/>
      <c r="Q162" s="39">
        <v>0</v>
      </c>
      <c r="R162" s="26"/>
      <c r="S162" s="39">
        <f t="shared" si="28"/>
        <v>0</v>
      </c>
      <c r="T162" s="406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396" t="s">
        <v>238</v>
      </c>
      <c r="B163" s="7" t="s">
        <v>70</v>
      </c>
      <c r="C163" s="14" t="s">
        <v>19</v>
      </c>
      <c r="D163" s="57"/>
      <c r="E163" s="73"/>
      <c r="F163" s="19" t="e">
        <v>#N/A</v>
      </c>
      <c r="G163" s="56"/>
      <c r="H163" s="7"/>
      <c r="I163" s="19"/>
      <c r="J163" s="26"/>
      <c r="K163" s="7"/>
      <c r="L163" s="39">
        <v>0</v>
      </c>
      <c r="M163" s="26"/>
      <c r="N163" s="39" t="e">
        <f t="shared" si="29"/>
        <v>#N/A</v>
      </c>
      <c r="O163" s="26"/>
      <c r="P163" s="7"/>
      <c r="Q163" s="39">
        <v>0</v>
      </c>
      <c r="R163" s="26"/>
      <c r="S163" s="39">
        <f t="shared" si="28"/>
        <v>0</v>
      </c>
      <c r="T163" s="406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396"/>
      <c r="B164" s="7"/>
      <c r="C164" s="139" t="s">
        <v>68</v>
      </c>
      <c r="D164" s="62"/>
      <c r="E164" s="63"/>
      <c r="F164" s="64" t="e">
        <f>+SUM(F157:F163)</f>
        <v>#N/A</v>
      </c>
      <c r="G164" s="65"/>
      <c r="H164" s="63"/>
      <c r="I164" s="64"/>
      <c r="J164" s="65"/>
      <c r="K164" s="63"/>
      <c r="L164" s="64">
        <f>+SUM(L157:L163)</f>
        <v>7124.3399999999965</v>
      </c>
      <c r="M164" s="66"/>
      <c r="N164" s="64" t="e">
        <f>SUM(N157:N160)</f>
        <v>#N/A</v>
      </c>
      <c r="O164" s="65"/>
      <c r="P164" s="63"/>
      <c r="Q164" s="64">
        <f>+SUM(Q157:Q163)</f>
        <v>0</v>
      </c>
      <c r="R164" s="67"/>
      <c r="S164" s="64">
        <f t="shared" si="28"/>
        <v>7124.3399999999965</v>
      </c>
      <c r="T164" s="6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408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396"/>
      <c r="B166" s="7"/>
      <c r="C166" s="276" t="s">
        <v>69</v>
      </c>
      <c r="D166" s="277"/>
      <c r="E166" s="278"/>
      <c r="F166" s="138" t="e">
        <f>F109-F156+F164</f>
        <v>#N/A</v>
      </c>
      <c r="G166" s="279"/>
      <c r="H166" s="278"/>
      <c r="I166" s="138"/>
      <c r="J166" s="279"/>
      <c r="K166" s="278"/>
      <c r="L166" s="138">
        <f>L109-L156+L164</f>
        <v>-23059.260000000839</v>
      </c>
      <c r="M166" s="280"/>
      <c r="N166" s="138" t="e">
        <f>L166-F166</f>
        <v>#N/A</v>
      </c>
      <c r="O166" s="279"/>
      <c r="P166" s="278"/>
      <c r="Q166" s="138">
        <f>Q109-Q156+Q164</f>
        <v>-82544.580000001908</v>
      </c>
      <c r="R166" s="281"/>
      <c r="S166" s="138">
        <f t="shared" si="28"/>
        <v>59485.320000001069</v>
      </c>
      <c r="T166" s="6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219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Réalisé, Aout 2026</v>
      </c>
      <c r="T169" s="381"/>
      <c r="U169" s="381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426" t="s">
        <v>5</v>
      </c>
      <c r="E171" s="426"/>
      <c r="F171" s="428"/>
      <c r="G171" s="424"/>
      <c r="H171" s="426"/>
      <c r="I171" s="428"/>
      <c r="J171" s="424" t="s">
        <v>7</v>
      </c>
      <c r="K171" s="426"/>
      <c r="L171" s="428"/>
      <c r="M171" s="424" t="s">
        <v>210</v>
      </c>
      <c r="N171" s="428"/>
      <c r="O171" s="424" t="s">
        <v>8</v>
      </c>
      <c r="P171" s="426"/>
      <c r="Q171" s="428"/>
      <c r="R171" s="424" t="s">
        <v>211</v>
      </c>
      <c r="S171" s="428"/>
      <c r="T171" s="6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220</v>
      </c>
      <c r="K172" s="9" t="s">
        <v>13</v>
      </c>
      <c r="L172" s="10" t="s">
        <v>12</v>
      </c>
      <c r="M172" s="11" t="s">
        <v>220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220</v>
      </c>
      <c r="S172" s="10" t="s">
        <v>12</v>
      </c>
      <c r="T172" s="6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396" t="s">
        <v>221</v>
      </c>
      <c r="B173" s="7" t="s">
        <v>222</v>
      </c>
      <c r="C173" s="14" t="s">
        <v>14</v>
      </c>
      <c r="D173" s="30"/>
      <c r="E173" s="30"/>
      <c r="F173" s="31" t="e">
        <v>#N/A</v>
      </c>
      <c r="G173" s="34"/>
      <c r="H173" s="30"/>
      <c r="I173" s="31"/>
      <c r="J173" s="14"/>
      <c r="K173" s="58"/>
      <c r="L173" s="61">
        <v>5617807.6899999976</v>
      </c>
      <c r="M173" s="86"/>
      <c r="N173" s="87"/>
      <c r="O173" s="14"/>
      <c r="P173" s="58"/>
      <c r="Q173" s="61">
        <v>6332440.6900000013</v>
      </c>
      <c r="R173" s="86"/>
      <c r="S173" s="87"/>
      <c r="T173" s="6"/>
      <c r="U173" s="397"/>
      <c r="V173" s="398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396"/>
      <c r="B174" s="7" t="s">
        <v>222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6"/>
      <c r="U174" s="397"/>
      <c r="V174" s="398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396" t="s">
        <v>223</v>
      </c>
      <c r="B175" s="7" t="s">
        <v>222</v>
      </c>
      <c r="C175" s="26" t="s">
        <v>224</v>
      </c>
      <c r="D175" s="19" t="e">
        <v>#N/A</v>
      </c>
      <c r="E175" s="19" t="e">
        <f>IF(D175=0,0,F175/D175)</f>
        <v>#N/A</v>
      </c>
      <c r="F175" s="19" t="e">
        <v>#N/A</v>
      </c>
      <c r="G175" s="20"/>
      <c r="H175" s="19"/>
      <c r="I175" s="19"/>
      <c r="J175" s="20">
        <v>77</v>
      </c>
      <c r="K175" s="55">
        <f t="shared" ref="K175:K179" si="30">IF(J175=0,0,L175/J175)</f>
        <v>-783.68155844156422</v>
      </c>
      <c r="L175" s="39">
        <v>-60343.480000000447</v>
      </c>
      <c r="M175" s="20" t="e">
        <f>J175-D175</f>
        <v>#N/A</v>
      </c>
      <c r="N175" s="21" t="e">
        <f>L175-F175</f>
        <v>#N/A</v>
      </c>
      <c r="O175" s="20">
        <v>44</v>
      </c>
      <c r="P175" s="55">
        <f t="shared" ref="P175:P179" si="31">IF(O175=0,0,Q175/O175)</f>
        <v>-564.98931818178175</v>
      </c>
      <c r="Q175" s="39">
        <v>-24859.529999998398</v>
      </c>
      <c r="R175" s="20">
        <f t="shared" ref="R175:R177" si="32">J175-O175</f>
        <v>33</v>
      </c>
      <c r="S175" s="39">
        <f t="shared" ref="S175:S177" si="33">L175-Q175</f>
        <v>-35483.950000002049</v>
      </c>
      <c r="T175" s="6">
        <v>77</v>
      </c>
      <c r="U175" s="399">
        <v>-60343.48</v>
      </c>
      <c r="V175" s="398">
        <f>L175-U175</f>
        <v>-4.4383341446518898E-10</v>
      </c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396"/>
      <c r="B176" s="7" t="s">
        <v>222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>
        <f>R175/O175</f>
        <v>0.75</v>
      </c>
      <c r="S176" s="108">
        <f>IF(Q175=0,0,(S175/Q175))</f>
        <v>1.4273781523626687</v>
      </c>
      <c r="T176" s="6"/>
      <c r="U176" s="397"/>
      <c r="V176" s="398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396" t="s">
        <v>225</v>
      </c>
      <c r="B177" s="7" t="s">
        <v>222</v>
      </c>
      <c r="C177" s="26" t="s">
        <v>226</v>
      </c>
      <c r="D177" s="19" t="e">
        <v>#N/A</v>
      </c>
      <c r="E177" s="19" t="e">
        <f t="shared" ref="E177:E179" si="34">IF(D177=0,0,F177/D177)</f>
        <v>#N/A</v>
      </c>
      <c r="F177" s="19" t="e">
        <v>#N/A</v>
      </c>
      <c r="G177" s="20"/>
      <c r="H177" s="19"/>
      <c r="I177" s="19"/>
      <c r="J177" s="20">
        <v>27</v>
      </c>
      <c r="K177" s="55">
        <f t="shared" si="30"/>
        <v>844.68703703699566</v>
      </c>
      <c r="L177" s="39">
        <v>22806.549999998882</v>
      </c>
      <c r="M177" s="20" t="e">
        <f>J177-D177</f>
        <v>#N/A</v>
      </c>
      <c r="N177" s="21" t="e">
        <f>L177-F177</f>
        <v>#N/A</v>
      </c>
      <c r="O177" s="20">
        <v>0</v>
      </c>
      <c r="P177" s="55">
        <f t="shared" si="31"/>
        <v>0</v>
      </c>
      <c r="Q177" s="39">
        <v>0</v>
      </c>
      <c r="R177" s="20">
        <f t="shared" si="32"/>
        <v>27</v>
      </c>
      <c r="S177" s="39">
        <f t="shared" si="33"/>
        <v>22806.549999998882</v>
      </c>
      <c r="T177" s="6">
        <v>27</v>
      </c>
      <c r="U177" s="397">
        <v>22806.55</v>
      </c>
      <c r="V177" s="398">
        <f>L177-U177</f>
        <v>-1.1168594937771559E-9</v>
      </c>
      <c r="W177" s="7"/>
      <c r="X177" s="7"/>
      <c r="Y177" s="7"/>
      <c r="Z177" s="7"/>
      <c r="AA177" s="7"/>
      <c r="AB177" s="7"/>
      <c r="AC177" s="7"/>
      <c r="AD177" s="403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396"/>
      <c r="B178" s="7" t="s">
        <v>222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6"/>
      <c r="U178" s="397"/>
      <c r="V178" s="400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396" t="str">
        <f>B179&amp;C179</f>
        <v>Wholesale autresWholesale Luxueux</v>
      </c>
      <c r="B179" s="7" t="s">
        <v>222</v>
      </c>
      <c r="C179" s="26" t="s">
        <v>227</v>
      </c>
      <c r="D179" s="19" t="e">
        <v>#N/A</v>
      </c>
      <c r="E179" s="19" t="e">
        <f t="shared" si="34"/>
        <v>#N/A</v>
      </c>
      <c r="F179" s="19" t="e">
        <v>#N/A</v>
      </c>
      <c r="G179" s="20"/>
      <c r="H179" s="19"/>
      <c r="I179" s="19"/>
      <c r="J179" s="20">
        <v>8</v>
      </c>
      <c r="K179" s="55">
        <f t="shared" si="30"/>
        <v>2704.375</v>
      </c>
      <c r="L179" s="39">
        <v>21635</v>
      </c>
      <c r="M179" s="20" t="e">
        <f>J179-D179</f>
        <v>#N/A</v>
      </c>
      <c r="N179" s="21" t="e">
        <f>L179-F179</f>
        <v>#N/A</v>
      </c>
      <c r="O179" s="20">
        <v>21</v>
      </c>
      <c r="P179" s="55">
        <f t="shared" si="31"/>
        <v>4531.9047619046733</v>
      </c>
      <c r="Q179" s="39">
        <v>95169.999999998137</v>
      </c>
      <c r="R179" s="20">
        <f>J179-O179</f>
        <v>-13</v>
      </c>
      <c r="S179" s="39">
        <f>L179-Q179</f>
        <v>-73534.999999998137</v>
      </c>
      <c r="T179" s="6">
        <v>8</v>
      </c>
      <c r="U179" s="399">
        <v>21635</v>
      </c>
      <c r="V179" s="398">
        <f>L179-U179</f>
        <v>0</v>
      </c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396" t="s">
        <v>70</v>
      </c>
      <c r="B180" s="7" t="s">
        <v>222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>
        <f>R179/O179</f>
        <v>-0.61904761904761907</v>
      </c>
      <c r="S180" s="100">
        <f>IF(Q179=0,0,(S179/Q179))</f>
        <v>-0.77266995902069535</v>
      </c>
      <c r="T180" s="6"/>
      <c r="U180" s="397"/>
      <c r="V180" s="400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396" t="s">
        <v>70</v>
      </c>
      <c r="B181" s="7" t="s">
        <v>222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6"/>
      <c r="U181" s="397"/>
      <c r="V181" s="400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396" t="s">
        <v>228</v>
      </c>
      <c r="B182" s="7" t="s">
        <v>222</v>
      </c>
      <c r="C182" s="264" t="s">
        <v>229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112</v>
      </c>
      <c r="K182" s="41">
        <f>IF(J182&lt;=0,0,L182/J182)</f>
        <v>-141.98151785715683</v>
      </c>
      <c r="L182" s="43">
        <f>L175+L179+L177</f>
        <v>-15901.930000001565</v>
      </c>
      <c r="M182" s="44" t="e">
        <f>J182-D182</f>
        <v>#N/A</v>
      </c>
      <c r="N182" s="43" t="e">
        <f>L182-F182</f>
        <v>#REF!</v>
      </c>
      <c r="O182" s="44">
        <f>O175+O177+O179</f>
        <v>65</v>
      </c>
      <c r="P182" s="41">
        <f>IF(O182&lt;=0,0,Q182/O182)</f>
        <v>1081.6995384615345</v>
      </c>
      <c r="Q182" s="43">
        <f>Q175+Q179+Q177</f>
        <v>70310.469999999739</v>
      </c>
      <c r="R182" s="44">
        <f>J182-O182</f>
        <v>47</v>
      </c>
      <c r="S182" s="43">
        <f>L182-Q182</f>
        <v>-86212.400000001304</v>
      </c>
      <c r="T182" s="6"/>
      <c r="U182" s="397">
        <f>SUM(U175:U181)</f>
        <v>-15901.930000000008</v>
      </c>
      <c r="V182" s="398">
        <f>L182-U182</f>
        <v>-1.5570549294352531E-9</v>
      </c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396" t="s">
        <v>70</v>
      </c>
      <c r="B183" s="7" t="s">
        <v>222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1.3829787234042554</v>
      </c>
      <c r="S183" s="267">
        <f>IF(Q182=0,0,(S182/Q182))</f>
        <v>-1.2261673119238377</v>
      </c>
      <c r="T183" s="6"/>
      <c r="U183" s="397"/>
      <c r="V183" s="398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396" t="s">
        <v>70</v>
      </c>
      <c r="B184" s="7" t="s">
        <v>222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6"/>
      <c r="U184" s="397"/>
      <c r="V184" s="398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396" t="s">
        <v>230</v>
      </c>
      <c r="B185" s="7" t="s">
        <v>222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6"/>
      <c r="U185" s="397"/>
      <c r="V185" s="398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396" t="s">
        <v>231</v>
      </c>
      <c r="B186" s="7" t="s">
        <v>222</v>
      </c>
      <c r="C186" s="26" t="s">
        <v>30</v>
      </c>
      <c r="D186" s="99" t="e">
        <f>F186/F182</f>
        <v>#N/A</v>
      </c>
      <c r="E186" s="55" t="e">
        <f>IF($J$97=0,0,F186/(D$94+D$95+D182))</f>
        <v>#N/A</v>
      </c>
      <c r="F186" s="19" t="e">
        <v>#N/A</v>
      </c>
      <c r="G186" s="99"/>
      <c r="H186" s="55"/>
      <c r="I186" s="19"/>
      <c r="J186" s="99">
        <f>L186/L182</f>
        <v>-0.63382243538985572</v>
      </c>
      <c r="K186" s="55">
        <f>IF($J$97=0,0,L186/(J$94+J$95+J182))</f>
        <v>74.110294117647058</v>
      </c>
      <c r="L186" s="39">
        <v>10079</v>
      </c>
      <c r="M186" s="26"/>
      <c r="N186" s="39" t="e">
        <f t="shared" ref="N186:N227" si="35">L186-F186</f>
        <v>#N/A</v>
      </c>
      <c r="O186" s="99">
        <f>Q186/Q182</f>
        <v>0</v>
      </c>
      <c r="P186" s="55">
        <f>IF($J$97=0,0,Q186/(O$94+O$95+O182))</f>
        <v>0</v>
      </c>
      <c r="Q186" s="39">
        <v>0</v>
      </c>
      <c r="R186" s="26"/>
      <c r="S186" s="39">
        <f t="shared" ref="S186:S227" si="36">L186-Q186</f>
        <v>10079</v>
      </c>
      <c r="T186" s="6"/>
      <c r="U186" s="6" t="s">
        <v>501</v>
      </c>
      <c r="V186" s="6" t="s">
        <v>501</v>
      </c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396" t="s">
        <v>232</v>
      </c>
      <c r="B187" s="7" t="s">
        <v>222</v>
      </c>
      <c r="C187" s="14" t="s">
        <v>31</v>
      </c>
      <c r="D187" s="104" t="e">
        <f>F187/(F182)</f>
        <v>#N/A</v>
      </c>
      <c r="E187" s="58" t="e">
        <f>IF($J$97=0,0,F187/(D$94+D$95+D182))</f>
        <v>#N/A</v>
      </c>
      <c r="F187" s="31" t="e">
        <v>#N/A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 t="e">
        <f t="shared" si="35"/>
        <v>#N/A</v>
      </c>
      <c r="O187" s="104">
        <f>Q187/(Q182)</f>
        <v>0</v>
      </c>
      <c r="P187" s="58">
        <f>IF($J$97=0,0,Q187/(O$94+O$95+O182))</f>
        <v>0</v>
      </c>
      <c r="Q187" s="39">
        <v>0</v>
      </c>
      <c r="R187" s="14"/>
      <c r="S187" s="61">
        <f t="shared" si="36"/>
        <v>0</v>
      </c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396" t="s">
        <v>233</v>
      </c>
      <c r="B188" s="7" t="s">
        <v>222</v>
      </c>
      <c r="C188" s="26" t="s">
        <v>32</v>
      </c>
      <c r="D188" s="26"/>
      <c r="E188" s="55" t="e">
        <f>IF($J$97=0,0,F188/(D$94+D$95+D182))</f>
        <v>#N/A</v>
      </c>
      <c r="F188" s="19" t="e">
        <v>#N/A</v>
      </c>
      <c r="G188" s="56"/>
      <c r="H188" s="55"/>
      <c r="I188" s="19"/>
      <c r="J188" s="26"/>
      <c r="K188" s="55">
        <f>IF($J$97=0,0,L188/(J$94+J$95+J182))</f>
        <v>4.1830882352941146</v>
      </c>
      <c r="L188" s="72">
        <v>568.89999999999964</v>
      </c>
      <c r="M188" s="26"/>
      <c r="N188" s="39" t="e">
        <f t="shared" si="35"/>
        <v>#N/A</v>
      </c>
      <c r="O188" s="26"/>
      <c r="P188" s="55">
        <f>IF($J$97=0,0,Q188/(O$94+O$95+O182))</f>
        <v>-57.537160493827166</v>
      </c>
      <c r="Q188" s="72">
        <v>-4660.51</v>
      </c>
      <c r="R188" s="26"/>
      <c r="S188" s="39">
        <f t="shared" si="36"/>
        <v>5229.41</v>
      </c>
      <c r="T188" s="6"/>
      <c r="U188" s="6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396" t="s">
        <v>234</v>
      </c>
      <c r="B189" s="7" t="s">
        <v>222</v>
      </c>
      <c r="C189" s="26" t="s">
        <v>33</v>
      </c>
      <c r="D189" s="26"/>
      <c r="E189" s="55" t="e">
        <f>IF($J$97=0,0,F189/(D$94+D$95+D182))</f>
        <v>#N/A</v>
      </c>
      <c r="F189" s="19" t="e">
        <v>#N/A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 t="e">
        <f t="shared" si="35"/>
        <v>#N/A</v>
      </c>
      <c r="O189" s="26"/>
      <c r="P189" s="55">
        <f>IF($J$97=0,0,Q189/(O$94+O$95+O182))</f>
        <v>0</v>
      </c>
      <c r="Q189" s="39">
        <v>0</v>
      </c>
      <c r="R189" s="26"/>
      <c r="S189" s="39">
        <f t="shared" si="36"/>
        <v>0</v>
      </c>
      <c r="T189" s="6"/>
      <c r="U189" s="6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396" t="s">
        <v>235</v>
      </c>
      <c r="B190" s="7" t="s">
        <v>222</v>
      </c>
      <c r="C190" s="14" t="s">
        <v>34</v>
      </c>
      <c r="D190" s="14"/>
      <c r="E190" s="58" t="e">
        <f>IF($J$97=0,0,F190/(D$94+D$95+D182))</f>
        <v>#N/A</v>
      </c>
      <c r="F190" s="31" t="e">
        <v>#N/A</v>
      </c>
      <c r="G190" s="59"/>
      <c r="H190" s="58"/>
      <c r="I190" s="31"/>
      <c r="J190" s="14"/>
      <c r="K190" s="58">
        <f>IF($J$97=0,0,L190/(J$94+J$95+J182))</f>
        <v>0.12867647058823528</v>
      </c>
      <c r="L190" s="61">
        <v>17.5</v>
      </c>
      <c r="M190" s="14"/>
      <c r="N190" s="61" t="e">
        <f t="shared" si="35"/>
        <v>#N/A</v>
      </c>
      <c r="O190" s="14"/>
      <c r="P190" s="58">
        <f>IF($J$97=0,0,Q190/(O$94+O$95+O182))</f>
        <v>0</v>
      </c>
      <c r="Q190" s="61">
        <v>0</v>
      </c>
      <c r="R190" s="14"/>
      <c r="S190" s="61">
        <f t="shared" si="36"/>
        <v>17.5</v>
      </c>
      <c r="T190" s="97"/>
      <c r="U190" s="6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396" t="s">
        <v>236</v>
      </c>
      <c r="B191" s="7" t="s">
        <v>222</v>
      </c>
      <c r="C191" s="26" t="s">
        <v>35</v>
      </c>
      <c r="D191" s="26"/>
      <c r="E191" s="55" t="e">
        <f>IF($J$97=0,0,F191/(D$94+D$95+D182))</f>
        <v>#N/A</v>
      </c>
      <c r="F191" s="19" t="e">
        <v>#N/A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 t="e">
        <f t="shared" si="35"/>
        <v>#N/A</v>
      </c>
      <c r="O191" s="26"/>
      <c r="P191" s="55">
        <f>IF($J$97=0,0,Q191/(O$94+O$95+O182))</f>
        <v>0</v>
      </c>
      <c r="Q191" s="39">
        <v>0</v>
      </c>
      <c r="R191" s="26"/>
      <c r="S191" s="39">
        <f t="shared" si="36"/>
        <v>0</v>
      </c>
      <c r="T191" s="97"/>
      <c r="U191" s="6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396" t="s">
        <v>237</v>
      </c>
      <c r="B192" s="7" t="s">
        <v>222</v>
      </c>
      <c r="C192" s="26" t="s">
        <v>36</v>
      </c>
      <c r="D192" s="26"/>
      <c r="E192" s="55" t="e">
        <f>IF($J$97=0,0,F192/(D$94+D$95+D182))</f>
        <v>#N/A</v>
      </c>
      <c r="F192" s="19" t="e">
        <v>#N/A</v>
      </c>
      <c r="G192" s="56"/>
      <c r="H192" s="55"/>
      <c r="I192" s="19"/>
      <c r="J192" s="26"/>
      <c r="K192" s="55">
        <f>IF($J$97=0,0,L192/(J$94+J$95+J182))</f>
        <v>82.797058823529582</v>
      </c>
      <c r="L192" s="39">
        <v>11260.400000000023</v>
      </c>
      <c r="M192" s="26"/>
      <c r="N192" s="39" t="e">
        <f t="shared" si="35"/>
        <v>#N/A</v>
      </c>
      <c r="O192" s="26"/>
      <c r="P192" s="55">
        <f>IF($J$97=0,0,Q192/(O$94+O$95+O182))</f>
        <v>76.089506172839506</v>
      </c>
      <c r="Q192" s="39">
        <v>6163.25</v>
      </c>
      <c r="R192" s="26"/>
      <c r="S192" s="39">
        <f t="shared" si="36"/>
        <v>5097.1500000000233</v>
      </c>
      <c r="T192" s="6">
        <v>12001</v>
      </c>
      <c r="U192" s="6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customHeight="1">
      <c r="A193" s="396" t="s">
        <v>238</v>
      </c>
      <c r="B193" s="7" t="s">
        <v>222</v>
      </c>
      <c r="C193" s="26" t="s">
        <v>302</v>
      </c>
      <c r="D193" s="54"/>
      <c r="E193" s="55" t="e">
        <f>F193/D$97</f>
        <v>#N/A</v>
      </c>
      <c r="F193" s="19" t="e">
        <v>#N/A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 t="e">
        <f t="shared" si="35"/>
        <v>#N/A</v>
      </c>
      <c r="O193" s="26"/>
      <c r="P193" s="55">
        <f>IF($J$97=0,0,Q193/(O$94+O$95))</f>
        <v>0</v>
      </c>
      <c r="Q193" s="21">
        <v>0</v>
      </c>
      <c r="R193" s="26"/>
      <c r="S193" s="39">
        <f t="shared" si="36"/>
        <v>0</v>
      </c>
      <c r="T193" s="6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customHeight="1">
      <c r="A194" s="396" t="s">
        <v>238</v>
      </c>
      <c r="B194" s="7" t="s">
        <v>222</v>
      </c>
      <c r="C194" s="26" t="s">
        <v>303</v>
      </c>
      <c r="D194" s="54"/>
      <c r="E194" s="55" t="e">
        <f>F194/D$97</f>
        <v>#N/A</v>
      </c>
      <c r="F194" s="19" t="e">
        <v>#N/A</v>
      </c>
      <c r="G194" s="56"/>
      <c r="H194" s="55"/>
      <c r="I194" s="19"/>
      <c r="J194" s="26"/>
      <c r="K194" s="55">
        <f>IF($J$97=0,0,L194/(J$94+J$95))</f>
        <v>-80.49666666666667</v>
      </c>
      <c r="L194" s="39">
        <v>-1931.92</v>
      </c>
      <c r="M194" s="26"/>
      <c r="N194" s="39" t="e">
        <f t="shared" si="35"/>
        <v>#N/A</v>
      </c>
      <c r="O194" s="26"/>
      <c r="P194" s="55">
        <f>IF($J$97=0,0,Q194/(O$94+O$95))</f>
        <v>0</v>
      </c>
      <c r="Q194" s="21">
        <v>0</v>
      </c>
      <c r="R194" s="26"/>
      <c r="S194" s="39">
        <f t="shared" si="36"/>
        <v>-1931.92</v>
      </c>
      <c r="T194" s="6">
        <v>-1932</v>
      </c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396" t="s">
        <v>238</v>
      </c>
      <c r="B195" s="7" t="s">
        <v>222</v>
      </c>
      <c r="C195" s="26" t="s">
        <v>19</v>
      </c>
      <c r="D195" s="54"/>
      <c r="E195" s="55" t="e">
        <f>F195/D$97</f>
        <v>#N/A</v>
      </c>
      <c r="F195" s="19" t="e">
        <v>#N/A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 t="e">
        <f t="shared" si="35"/>
        <v>#N/A</v>
      </c>
      <c r="O195" s="26"/>
      <c r="P195" s="55">
        <f>IF($J$97=0,0,Q195/(O$94+O$95))</f>
        <v>0</v>
      </c>
      <c r="Q195" s="21">
        <v>0</v>
      </c>
      <c r="R195" s="26"/>
      <c r="S195" s="39">
        <f t="shared" si="36"/>
        <v>0</v>
      </c>
      <c r="T195" s="6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396" t="s">
        <v>239</v>
      </c>
      <c r="B196" s="7" t="s">
        <v>222</v>
      </c>
      <c r="C196" s="139" t="s">
        <v>37</v>
      </c>
      <c r="D196" s="62" t="s">
        <v>38</v>
      </c>
      <c r="E196" s="63" t="e">
        <f>F196/F$109</f>
        <v>#N/A</v>
      </c>
      <c r="F196" s="64" t="e">
        <f>SUM(F186:F195)</f>
        <v>#N/A</v>
      </c>
      <c r="G196" s="65"/>
      <c r="H196" s="63"/>
      <c r="I196" s="64"/>
      <c r="J196" s="65" t="s">
        <v>38</v>
      </c>
      <c r="K196" s="63">
        <f>L196/L$109</f>
        <v>0.82987467132095138</v>
      </c>
      <c r="L196" s="64">
        <f>SUM(L186:L195)</f>
        <v>19993.880000000026</v>
      </c>
      <c r="M196" s="66"/>
      <c r="N196" s="64" t="e">
        <f t="shared" si="35"/>
        <v>#N/A</v>
      </c>
      <c r="O196" s="65" t="s">
        <v>38</v>
      </c>
      <c r="P196" s="63">
        <f>Q196/Q$109</f>
        <v>4.4869027251530504E-2</v>
      </c>
      <c r="Q196" s="64">
        <f>SUM(Q186:Q195)</f>
        <v>1502.7399999999998</v>
      </c>
      <c r="R196" s="67"/>
      <c r="S196" s="64">
        <f t="shared" si="36"/>
        <v>18491.140000000029</v>
      </c>
      <c r="T196" s="6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396" t="s">
        <v>240</v>
      </c>
      <c r="B197" s="7" t="s">
        <v>222</v>
      </c>
      <c r="C197" s="271" t="s">
        <v>40</v>
      </c>
      <c r="D197" s="7"/>
      <c r="E197" s="7"/>
      <c r="F197" s="19" t="e">
        <v>#N/A</v>
      </c>
      <c r="G197" s="26"/>
      <c r="H197" s="7"/>
      <c r="I197" s="19"/>
      <c r="J197" s="26"/>
      <c r="K197" s="7"/>
      <c r="L197" s="39">
        <v>-6991.5299999999988</v>
      </c>
      <c r="M197" s="26"/>
      <c r="N197" s="39" t="e">
        <f t="shared" si="35"/>
        <v>#N/A</v>
      </c>
      <c r="O197" s="26"/>
      <c r="P197" s="7"/>
      <c r="Q197" s="39">
        <v>1288.1200000000536</v>
      </c>
      <c r="R197" s="26"/>
      <c r="S197" s="39">
        <f t="shared" si="36"/>
        <v>-8279.6500000000524</v>
      </c>
      <c r="T197" s="6"/>
      <c r="U197" s="6" t="s">
        <v>496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396" t="s">
        <v>241</v>
      </c>
      <c r="B198" s="7" t="s">
        <v>222</v>
      </c>
      <c r="C198" s="272" t="s">
        <v>41</v>
      </c>
      <c r="D198" s="54"/>
      <c r="E198" s="7"/>
      <c r="F198" s="31" t="e">
        <v>#N/A</v>
      </c>
      <c r="G198" s="56"/>
      <c r="H198" s="7"/>
      <c r="I198" s="31"/>
      <c r="J198" s="26"/>
      <c r="K198" s="7"/>
      <c r="L198" s="39">
        <v>-8418.5999999999985</v>
      </c>
      <c r="M198" s="26"/>
      <c r="N198" s="39" t="e">
        <f t="shared" si="35"/>
        <v>#N/A</v>
      </c>
      <c r="O198" s="26"/>
      <c r="P198" s="7"/>
      <c r="Q198" s="39">
        <v>10049.380000000005</v>
      </c>
      <c r="R198" s="26"/>
      <c r="S198" s="39">
        <f t="shared" si="36"/>
        <v>-18467.980000000003</v>
      </c>
      <c r="T198" s="6"/>
      <c r="U198" s="6" t="s">
        <v>502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396" t="s">
        <v>242</v>
      </c>
      <c r="B199" s="7" t="s">
        <v>222</v>
      </c>
      <c r="C199" s="271" t="s">
        <v>42</v>
      </c>
      <c r="D199" s="68"/>
      <c r="E199" s="69"/>
      <c r="F199" s="19" t="e">
        <v>#N/A</v>
      </c>
      <c r="G199" s="70"/>
      <c r="H199" s="69"/>
      <c r="I199" s="19"/>
      <c r="J199" s="71"/>
      <c r="K199" s="69"/>
      <c r="L199" s="72">
        <v>0</v>
      </c>
      <c r="M199" s="71"/>
      <c r="N199" s="72" t="e">
        <f t="shared" si="35"/>
        <v>#N/A</v>
      </c>
      <c r="O199" s="71"/>
      <c r="P199" s="69"/>
      <c r="Q199" s="72">
        <v>40000</v>
      </c>
      <c r="R199" s="71"/>
      <c r="S199" s="72">
        <f t="shared" si="36"/>
        <v>-40000</v>
      </c>
      <c r="T199" s="6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396" t="s">
        <v>243</v>
      </c>
      <c r="B200" s="7" t="s">
        <v>222</v>
      </c>
      <c r="C200" s="271" t="s">
        <v>43</v>
      </c>
      <c r="D200" s="54"/>
      <c r="E200" s="7"/>
      <c r="F200" s="19" t="e">
        <v>#N/A</v>
      </c>
      <c r="G200" s="56"/>
      <c r="H200" s="7"/>
      <c r="I200" s="19"/>
      <c r="J200" s="26"/>
      <c r="K200" s="7"/>
      <c r="L200" s="39">
        <v>0</v>
      </c>
      <c r="M200" s="26"/>
      <c r="N200" s="39" t="e">
        <f t="shared" si="35"/>
        <v>#N/A</v>
      </c>
      <c r="O200" s="26"/>
      <c r="P200" s="7"/>
      <c r="Q200" s="39">
        <v>0</v>
      </c>
      <c r="R200" s="26"/>
      <c r="S200" s="39">
        <f t="shared" si="36"/>
        <v>0</v>
      </c>
      <c r="T200" s="6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396" t="s">
        <v>238</v>
      </c>
      <c r="B201" s="7" t="s">
        <v>222</v>
      </c>
      <c r="C201" s="271" t="s">
        <v>19</v>
      </c>
      <c r="D201" s="54"/>
      <c r="E201" s="7"/>
      <c r="F201" s="19" t="e">
        <v>#N/A</v>
      </c>
      <c r="G201" s="56"/>
      <c r="H201" s="7"/>
      <c r="I201" s="19"/>
      <c r="J201" s="26"/>
      <c r="K201" s="7"/>
      <c r="L201" s="39">
        <v>0</v>
      </c>
      <c r="M201" s="26"/>
      <c r="N201" s="39" t="e">
        <f t="shared" si="35"/>
        <v>#N/A</v>
      </c>
      <c r="O201" s="26"/>
      <c r="P201" s="7"/>
      <c r="Q201" s="39">
        <v>0</v>
      </c>
      <c r="R201" s="26"/>
      <c r="S201" s="39">
        <f t="shared" si="36"/>
        <v>0</v>
      </c>
      <c r="T201" s="6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396" t="s">
        <v>238</v>
      </c>
      <c r="B202" s="7" t="s">
        <v>222</v>
      </c>
      <c r="C202" s="271" t="s">
        <v>19</v>
      </c>
      <c r="D202" s="54"/>
      <c r="E202" s="7"/>
      <c r="F202" s="19" t="e">
        <v>#N/A</v>
      </c>
      <c r="G202" s="56"/>
      <c r="H202" s="7"/>
      <c r="I202" s="19"/>
      <c r="J202" s="26"/>
      <c r="K202" s="7"/>
      <c r="L202" s="39">
        <v>0</v>
      </c>
      <c r="M202" s="26"/>
      <c r="N202" s="39" t="e">
        <f t="shared" si="35"/>
        <v>#N/A</v>
      </c>
      <c r="O202" s="26"/>
      <c r="P202" s="7"/>
      <c r="Q202" s="39">
        <v>0</v>
      </c>
      <c r="R202" s="26"/>
      <c r="S202" s="39">
        <f t="shared" si="36"/>
        <v>0</v>
      </c>
      <c r="T202" s="6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396" t="s">
        <v>238</v>
      </c>
      <c r="B203" s="7" t="s">
        <v>222</v>
      </c>
      <c r="C203" s="271" t="s">
        <v>19</v>
      </c>
      <c r="D203" s="54"/>
      <c r="E203" s="7"/>
      <c r="F203" s="19" t="e">
        <v>#N/A</v>
      </c>
      <c r="G203" s="56"/>
      <c r="H203" s="7"/>
      <c r="I203" s="19"/>
      <c r="J203" s="26"/>
      <c r="K203" s="7"/>
      <c r="L203" s="39">
        <v>0</v>
      </c>
      <c r="M203" s="26"/>
      <c r="N203" s="39" t="e">
        <f t="shared" si="35"/>
        <v>#N/A</v>
      </c>
      <c r="O203" s="26"/>
      <c r="P203" s="7"/>
      <c r="Q203" s="39">
        <v>0</v>
      </c>
      <c r="R203" s="26"/>
      <c r="S203" s="39">
        <f t="shared" si="36"/>
        <v>0</v>
      </c>
      <c r="T203" s="6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396" t="s">
        <v>244</v>
      </c>
      <c r="B204" s="7" t="s">
        <v>222</v>
      </c>
      <c r="C204" s="272" t="s">
        <v>44</v>
      </c>
      <c r="D204" s="54"/>
      <c r="E204" s="7"/>
      <c r="F204" s="19" t="e">
        <v>#N/A</v>
      </c>
      <c r="G204" s="56"/>
      <c r="H204" s="7"/>
      <c r="I204" s="19"/>
      <c r="J204" s="26"/>
      <c r="K204" s="7"/>
      <c r="L204" s="39">
        <v>1968.42</v>
      </c>
      <c r="M204" s="26"/>
      <c r="N204" s="39" t="e">
        <f t="shared" si="35"/>
        <v>#N/A</v>
      </c>
      <c r="O204" s="26"/>
      <c r="P204" s="7"/>
      <c r="Q204" s="39">
        <v>2656.8000000000029</v>
      </c>
      <c r="R204" s="26"/>
      <c r="S204" s="39">
        <f t="shared" si="36"/>
        <v>-688.38000000000284</v>
      </c>
      <c r="T204" s="6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396" t="s">
        <v>245</v>
      </c>
      <c r="B205" s="7" t="s">
        <v>222</v>
      </c>
      <c r="C205" s="271" t="s">
        <v>45</v>
      </c>
      <c r="D205" s="68"/>
      <c r="E205" s="69"/>
      <c r="F205" s="35" t="e">
        <v>#N/A</v>
      </c>
      <c r="G205" s="70"/>
      <c r="H205" s="69"/>
      <c r="I205" s="35"/>
      <c r="J205" s="71"/>
      <c r="K205" s="69"/>
      <c r="L205" s="72">
        <v>-1357.4499999999971</v>
      </c>
      <c r="M205" s="71"/>
      <c r="N205" s="72" t="e">
        <f t="shared" si="35"/>
        <v>#N/A</v>
      </c>
      <c r="O205" s="71"/>
      <c r="P205" s="69"/>
      <c r="Q205" s="72">
        <v>3644.630000000001</v>
      </c>
      <c r="R205" s="71"/>
      <c r="S205" s="72">
        <f t="shared" si="36"/>
        <v>-5002.0799999999981</v>
      </c>
      <c r="T205" s="6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396" t="s">
        <v>246</v>
      </c>
      <c r="B206" s="7" t="s">
        <v>222</v>
      </c>
      <c r="C206" s="271" t="s">
        <v>46</v>
      </c>
      <c r="D206" s="54"/>
      <c r="E206" s="7"/>
      <c r="F206" s="19" t="e">
        <v>#N/A</v>
      </c>
      <c r="G206" s="56"/>
      <c r="H206" s="7"/>
      <c r="I206" s="19"/>
      <c r="J206" s="26"/>
      <c r="K206" s="7"/>
      <c r="L206" s="39">
        <v>568.55000000000018</v>
      </c>
      <c r="M206" s="26"/>
      <c r="N206" s="39" t="e">
        <f t="shared" si="35"/>
        <v>#N/A</v>
      </c>
      <c r="O206" s="26"/>
      <c r="P206" s="7"/>
      <c r="Q206" s="39">
        <v>296.78000000000065</v>
      </c>
      <c r="R206" s="26"/>
      <c r="S206" s="39">
        <f t="shared" si="36"/>
        <v>271.76999999999953</v>
      </c>
      <c r="T206" s="6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396" t="s">
        <v>247</v>
      </c>
      <c r="B207" s="7" t="s">
        <v>222</v>
      </c>
      <c r="C207" s="271" t="s">
        <v>47</v>
      </c>
      <c r="D207" s="54"/>
      <c r="E207" s="7"/>
      <c r="F207" s="19" t="e">
        <v>#N/A</v>
      </c>
      <c r="G207" s="56"/>
      <c r="H207" s="7"/>
      <c r="I207" s="19"/>
      <c r="J207" s="26"/>
      <c r="K207" s="7"/>
      <c r="L207" s="39">
        <v>290.33000000000004</v>
      </c>
      <c r="M207" s="26"/>
      <c r="N207" s="39" t="e">
        <f t="shared" si="35"/>
        <v>#N/A</v>
      </c>
      <c r="O207" s="26"/>
      <c r="P207" s="7"/>
      <c r="Q207" s="39">
        <v>0</v>
      </c>
      <c r="R207" s="26"/>
      <c r="S207" s="39">
        <f t="shared" si="36"/>
        <v>290.33000000000004</v>
      </c>
      <c r="T207" s="6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396" t="s">
        <v>238</v>
      </c>
      <c r="B208" s="7" t="s">
        <v>222</v>
      </c>
      <c r="C208" s="26" t="s">
        <v>19</v>
      </c>
      <c r="D208" s="57"/>
      <c r="E208" s="73"/>
      <c r="F208" s="19" t="e">
        <v>#N/A</v>
      </c>
      <c r="G208" s="59"/>
      <c r="H208" s="73"/>
      <c r="I208" s="19"/>
      <c r="J208" s="14"/>
      <c r="K208" s="73"/>
      <c r="L208" s="39">
        <v>0</v>
      </c>
      <c r="M208" s="14"/>
      <c r="N208" s="61" t="e">
        <f t="shared" si="35"/>
        <v>#N/A</v>
      </c>
      <c r="O208" s="14"/>
      <c r="P208" s="73"/>
      <c r="Q208" s="39">
        <v>0</v>
      </c>
      <c r="R208" s="14"/>
      <c r="S208" s="61">
        <f t="shared" si="36"/>
        <v>0</v>
      </c>
      <c r="T208" s="6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396" t="s">
        <v>248</v>
      </c>
      <c r="B209" s="7" t="s">
        <v>222</v>
      </c>
      <c r="C209" s="139" t="s">
        <v>48</v>
      </c>
      <c r="D209" s="62" t="s">
        <v>38</v>
      </c>
      <c r="E209" s="63" t="e">
        <f>F209/F$109</f>
        <v>#N/A</v>
      </c>
      <c r="F209" s="64" t="e">
        <f>+SUM(F197:F208)</f>
        <v>#N/A</v>
      </c>
      <c r="G209" s="65"/>
      <c r="H209" s="63"/>
      <c r="I209" s="64"/>
      <c r="J209" s="65" t="s">
        <v>38</v>
      </c>
      <c r="K209" s="63">
        <f>L209/L$109</f>
        <v>-0.57861131921978182</v>
      </c>
      <c r="L209" s="64">
        <f>SUM(L197:L208)</f>
        <v>-13940.279999999993</v>
      </c>
      <c r="M209" s="66"/>
      <c r="N209" s="64" t="e">
        <f t="shared" si="35"/>
        <v>#N/A</v>
      </c>
      <c r="O209" s="65" t="s">
        <v>38</v>
      </c>
      <c r="P209" s="63">
        <f>Q209/Q$109</f>
        <v>1.7298527694922419</v>
      </c>
      <c r="Q209" s="64">
        <f>SUM(Q197:Q208)</f>
        <v>57935.710000000065</v>
      </c>
      <c r="R209" s="67"/>
      <c r="S209" s="64">
        <f t="shared" si="36"/>
        <v>-71875.990000000063</v>
      </c>
      <c r="T209" s="6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396" t="s">
        <v>249</v>
      </c>
      <c r="B210" s="7" t="s">
        <v>222</v>
      </c>
      <c r="C210" s="26" t="s">
        <v>49</v>
      </c>
      <c r="D210" s="54"/>
      <c r="E210" s="7"/>
      <c r="F210" s="19" t="e">
        <v>#N/A</v>
      </c>
      <c r="G210" s="56"/>
      <c r="H210" s="7"/>
      <c r="I210" s="19"/>
      <c r="J210" s="26"/>
      <c r="K210" s="7"/>
      <c r="L210" s="39">
        <v>0</v>
      </c>
      <c r="M210" s="26"/>
      <c r="N210" s="39" t="e">
        <f t="shared" si="35"/>
        <v>#N/A</v>
      </c>
      <c r="O210" s="26"/>
      <c r="P210" s="7"/>
      <c r="Q210" s="39">
        <v>0</v>
      </c>
      <c r="R210" s="26"/>
      <c r="S210" s="39">
        <f t="shared" si="36"/>
        <v>0</v>
      </c>
      <c r="T210" s="6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396" t="s">
        <v>250</v>
      </c>
      <c r="B211" s="7" t="s">
        <v>222</v>
      </c>
      <c r="C211" s="26" t="s">
        <v>50</v>
      </c>
      <c r="D211" s="54"/>
      <c r="E211" s="7"/>
      <c r="F211" s="19" t="e">
        <v>#N/A</v>
      </c>
      <c r="G211" s="56"/>
      <c r="H211" s="7"/>
      <c r="I211" s="19"/>
      <c r="J211" s="26"/>
      <c r="K211" s="7"/>
      <c r="L211" s="39">
        <v>0</v>
      </c>
      <c r="M211" s="26"/>
      <c r="N211" s="39" t="e">
        <f t="shared" si="35"/>
        <v>#N/A</v>
      </c>
      <c r="O211" s="26"/>
      <c r="P211" s="7"/>
      <c r="Q211" s="39">
        <v>0</v>
      </c>
      <c r="R211" s="26"/>
      <c r="S211" s="39">
        <f t="shared" si="36"/>
        <v>0</v>
      </c>
      <c r="T211" s="6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396" t="s">
        <v>251</v>
      </c>
      <c r="B212" s="7" t="s">
        <v>222</v>
      </c>
      <c r="C212" s="14" t="s">
        <v>51</v>
      </c>
      <c r="D212" s="57"/>
      <c r="E212" s="73"/>
      <c r="F212" s="31" t="e">
        <v>#N/A</v>
      </c>
      <c r="G212" s="59"/>
      <c r="H212" s="73"/>
      <c r="I212" s="31"/>
      <c r="J212" s="14"/>
      <c r="K212" s="73"/>
      <c r="L212" s="61">
        <v>0</v>
      </c>
      <c r="M212" s="14"/>
      <c r="N212" s="61" t="e">
        <f t="shared" si="35"/>
        <v>#N/A</v>
      </c>
      <c r="O212" s="14"/>
      <c r="P212" s="73"/>
      <c r="Q212" s="61">
        <v>0</v>
      </c>
      <c r="R212" s="14"/>
      <c r="S212" s="61">
        <f t="shared" si="36"/>
        <v>0</v>
      </c>
      <c r="T212" s="6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396" t="s">
        <v>252</v>
      </c>
      <c r="B213" s="7" t="s">
        <v>222</v>
      </c>
      <c r="C213" s="26" t="s">
        <v>52</v>
      </c>
      <c r="D213" s="54"/>
      <c r="E213" s="7"/>
      <c r="F213" s="19" t="e">
        <v>#N/A</v>
      </c>
      <c r="G213" s="56"/>
      <c r="H213" s="7"/>
      <c r="I213" s="19"/>
      <c r="J213" s="26"/>
      <c r="K213" s="7"/>
      <c r="L213" s="39">
        <v>0</v>
      </c>
      <c r="M213" s="26"/>
      <c r="N213" s="39" t="e">
        <f t="shared" si="35"/>
        <v>#N/A</v>
      </c>
      <c r="O213" s="26"/>
      <c r="P213" s="7"/>
      <c r="Q213" s="39">
        <v>0</v>
      </c>
      <c r="R213" s="26"/>
      <c r="S213" s="39">
        <f t="shared" si="36"/>
        <v>0</v>
      </c>
      <c r="T213" s="6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396" t="s">
        <v>253</v>
      </c>
      <c r="B214" s="7" t="s">
        <v>222</v>
      </c>
      <c r="C214" s="26" t="s">
        <v>53</v>
      </c>
      <c r="D214" s="54"/>
      <c r="E214" s="7"/>
      <c r="F214" s="19" t="e">
        <v>#N/A</v>
      </c>
      <c r="G214" s="56"/>
      <c r="H214" s="7"/>
      <c r="I214" s="19"/>
      <c r="J214" s="26"/>
      <c r="K214" s="7"/>
      <c r="L214" s="39">
        <v>0</v>
      </c>
      <c r="M214" s="26"/>
      <c r="N214" s="39" t="e">
        <f t="shared" si="35"/>
        <v>#N/A</v>
      </c>
      <c r="O214" s="26"/>
      <c r="P214" s="7"/>
      <c r="Q214" s="39">
        <v>0</v>
      </c>
      <c r="R214" s="26"/>
      <c r="S214" s="39">
        <f t="shared" si="36"/>
        <v>0</v>
      </c>
      <c r="T214" s="407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396" t="s">
        <v>254</v>
      </c>
      <c r="B215" s="7" t="s">
        <v>222</v>
      </c>
      <c r="C215" s="14" t="s">
        <v>54</v>
      </c>
      <c r="D215" s="57"/>
      <c r="E215" s="73"/>
      <c r="F215" s="31" t="e">
        <v>#N/A</v>
      </c>
      <c r="G215" s="59"/>
      <c r="H215" s="73"/>
      <c r="I215" s="31"/>
      <c r="J215" s="14"/>
      <c r="K215" s="73"/>
      <c r="L215" s="61">
        <v>0</v>
      </c>
      <c r="M215" s="14"/>
      <c r="N215" s="61" t="e">
        <f t="shared" si="35"/>
        <v>#N/A</v>
      </c>
      <c r="O215" s="14"/>
      <c r="P215" s="73"/>
      <c r="Q215" s="61">
        <v>0</v>
      </c>
      <c r="R215" s="14"/>
      <c r="S215" s="61">
        <f t="shared" si="36"/>
        <v>0</v>
      </c>
      <c r="T215" s="6"/>
      <c r="U215" s="9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396" t="s">
        <v>255</v>
      </c>
      <c r="B216" s="7" t="s">
        <v>222</v>
      </c>
      <c r="C216" s="26" t="s">
        <v>55</v>
      </c>
      <c r="D216" s="54"/>
      <c r="E216" s="7"/>
      <c r="F216" s="19" t="e">
        <v>#N/A</v>
      </c>
      <c r="G216" s="56"/>
      <c r="H216" s="7"/>
      <c r="I216" s="19"/>
      <c r="J216" s="26"/>
      <c r="K216" s="7"/>
      <c r="L216" s="39">
        <v>0</v>
      </c>
      <c r="M216" s="26"/>
      <c r="N216" s="39" t="e">
        <f t="shared" si="35"/>
        <v>#N/A</v>
      </c>
      <c r="O216" s="26"/>
      <c r="P216" s="7"/>
      <c r="Q216" s="39">
        <v>0</v>
      </c>
      <c r="R216" s="26"/>
      <c r="S216" s="39">
        <f t="shared" si="36"/>
        <v>0</v>
      </c>
      <c r="T216" s="6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396" t="s">
        <v>256</v>
      </c>
      <c r="B217" s="7" t="s">
        <v>222</v>
      </c>
      <c r="C217" s="26" t="s">
        <v>56</v>
      </c>
      <c r="D217" s="54"/>
      <c r="E217" s="7"/>
      <c r="F217" s="19" t="e">
        <v>#N/A</v>
      </c>
      <c r="G217" s="56"/>
      <c r="H217" s="7"/>
      <c r="I217" s="19"/>
      <c r="J217" s="26"/>
      <c r="K217" s="7"/>
      <c r="L217" s="39">
        <v>0</v>
      </c>
      <c r="M217" s="26"/>
      <c r="N217" s="39" t="e">
        <f t="shared" si="35"/>
        <v>#N/A</v>
      </c>
      <c r="O217" s="26"/>
      <c r="P217" s="7"/>
      <c r="Q217" s="39">
        <v>0</v>
      </c>
      <c r="R217" s="26"/>
      <c r="S217" s="39">
        <f t="shared" si="36"/>
        <v>0</v>
      </c>
      <c r="T217" s="6"/>
      <c r="U217" s="9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396" t="s">
        <v>257</v>
      </c>
      <c r="B218" s="7" t="s">
        <v>222</v>
      </c>
      <c r="C218" s="26" t="s">
        <v>57</v>
      </c>
      <c r="D218" s="54"/>
      <c r="E218" s="7"/>
      <c r="F218" s="19" t="e">
        <v>#N/A</v>
      </c>
      <c r="G218" s="56"/>
      <c r="H218" s="7"/>
      <c r="I218" s="19"/>
      <c r="J218" s="26"/>
      <c r="K218" s="7"/>
      <c r="L218" s="39">
        <v>250</v>
      </c>
      <c r="M218" s="26"/>
      <c r="N218" s="39" t="e">
        <f t="shared" si="35"/>
        <v>#N/A</v>
      </c>
      <c r="O218" s="26"/>
      <c r="P218" s="7"/>
      <c r="Q218" s="39">
        <v>80</v>
      </c>
      <c r="R218" s="26"/>
      <c r="S218" s="39">
        <f t="shared" si="36"/>
        <v>170</v>
      </c>
      <c r="T218" s="6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396" t="s">
        <v>258</v>
      </c>
      <c r="B219" s="7" t="s">
        <v>222</v>
      </c>
      <c r="C219" s="26" t="s">
        <v>58</v>
      </c>
      <c r="D219" s="54"/>
      <c r="E219" s="7"/>
      <c r="F219" s="19" t="e">
        <v>#N/A</v>
      </c>
      <c r="G219" s="56"/>
      <c r="H219" s="7"/>
      <c r="I219" s="19"/>
      <c r="J219" s="26"/>
      <c r="K219" s="7"/>
      <c r="L219" s="39">
        <v>0</v>
      </c>
      <c r="M219" s="26"/>
      <c r="N219" s="39" t="e">
        <f t="shared" si="35"/>
        <v>#N/A</v>
      </c>
      <c r="O219" s="26"/>
      <c r="P219" s="7"/>
      <c r="Q219" s="39">
        <v>0</v>
      </c>
      <c r="R219" s="26"/>
      <c r="S219" s="39">
        <f t="shared" si="36"/>
        <v>0</v>
      </c>
      <c r="T219" s="6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396" t="s">
        <v>259</v>
      </c>
      <c r="B220" s="7" t="s">
        <v>222</v>
      </c>
      <c r="C220" s="26" t="s">
        <v>59</v>
      </c>
      <c r="D220" s="54"/>
      <c r="E220" s="7"/>
      <c r="F220" s="19" t="e">
        <v>#N/A</v>
      </c>
      <c r="G220" s="56"/>
      <c r="H220" s="7"/>
      <c r="I220" s="19"/>
      <c r="J220" s="26"/>
      <c r="K220" s="7"/>
      <c r="L220" s="39">
        <v>357.26999999999953</v>
      </c>
      <c r="M220" s="26"/>
      <c r="N220" s="39" t="e">
        <f t="shared" si="35"/>
        <v>#N/A</v>
      </c>
      <c r="O220" s="26"/>
      <c r="P220" s="7"/>
      <c r="Q220" s="39">
        <v>43.029999999999745</v>
      </c>
      <c r="R220" s="26"/>
      <c r="S220" s="39">
        <f t="shared" si="36"/>
        <v>314.23999999999978</v>
      </c>
      <c r="T220" s="6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396" t="s">
        <v>260</v>
      </c>
      <c r="B221" s="7" t="s">
        <v>222</v>
      </c>
      <c r="C221" s="26" t="s">
        <v>60</v>
      </c>
      <c r="D221" s="54"/>
      <c r="E221" s="7"/>
      <c r="F221" s="19" t="e">
        <v>#N/A</v>
      </c>
      <c r="G221" s="56"/>
      <c r="H221" s="7"/>
      <c r="I221" s="19"/>
      <c r="J221" s="26"/>
      <c r="K221" s="7"/>
      <c r="L221" s="39">
        <v>0</v>
      </c>
      <c r="M221" s="26"/>
      <c r="N221" s="39" t="e">
        <f t="shared" si="35"/>
        <v>#N/A</v>
      </c>
      <c r="O221" s="26"/>
      <c r="P221" s="7"/>
      <c r="Q221" s="39">
        <v>0</v>
      </c>
      <c r="R221" s="26"/>
      <c r="S221" s="39">
        <f t="shared" si="36"/>
        <v>0</v>
      </c>
      <c r="T221" s="6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396" t="s">
        <v>261</v>
      </c>
      <c r="B222" s="7" t="s">
        <v>222</v>
      </c>
      <c r="C222" s="26" t="s">
        <v>61</v>
      </c>
      <c r="D222" s="54"/>
      <c r="E222" s="7"/>
      <c r="F222" s="19" t="e">
        <v>#N/A</v>
      </c>
      <c r="G222" s="56"/>
      <c r="H222" s="7"/>
      <c r="I222" s="19"/>
      <c r="J222" s="26"/>
      <c r="K222" s="7"/>
      <c r="L222" s="39">
        <v>0</v>
      </c>
      <c r="M222" s="26"/>
      <c r="N222" s="39" t="e">
        <f t="shared" si="35"/>
        <v>#N/A</v>
      </c>
      <c r="O222" s="26"/>
      <c r="P222" s="7"/>
      <c r="Q222" s="39">
        <v>0</v>
      </c>
      <c r="R222" s="26"/>
      <c r="S222" s="39">
        <f t="shared" si="36"/>
        <v>0</v>
      </c>
      <c r="T222" s="6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396" t="s">
        <v>262</v>
      </c>
      <c r="B223" s="7" t="s">
        <v>222</v>
      </c>
      <c r="C223" s="26" t="s">
        <v>62</v>
      </c>
      <c r="D223" s="54"/>
      <c r="E223" s="7"/>
      <c r="F223" s="19" t="e">
        <v>#N/A</v>
      </c>
      <c r="G223" s="56"/>
      <c r="H223" s="7"/>
      <c r="I223" s="19"/>
      <c r="J223" s="26"/>
      <c r="K223" s="7"/>
      <c r="L223" s="39">
        <v>17.5</v>
      </c>
      <c r="M223" s="26"/>
      <c r="N223" s="39" t="e">
        <f t="shared" si="35"/>
        <v>#N/A</v>
      </c>
      <c r="O223" s="26"/>
      <c r="P223" s="7"/>
      <c r="Q223" s="39">
        <v>0</v>
      </c>
      <c r="R223" s="26"/>
      <c r="S223" s="39">
        <f t="shared" si="36"/>
        <v>17.5</v>
      </c>
      <c r="T223" s="9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396" t="s">
        <v>238</v>
      </c>
      <c r="B224" s="7" t="s">
        <v>222</v>
      </c>
      <c r="C224" s="26" t="s">
        <v>19</v>
      </c>
      <c r="D224" s="54"/>
      <c r="E224" s="7"/>
      <c r="F224" s="19" t="e">
        <v>#N/A</v>
      </c>
      <c r="G224" s="56"/>
      <c r="H224" s="7"/>
      <c r="I224" s="19"/>
      <c r="J224" s="26"/>
      <c r="K224" s="7"/>
      <c r="L224" s="39">
        <v>0</v>
      </c>
      <c r="M224" s="26"/>
      <c r="N224" s="39" t="e">
        <f t="shared" si="35"/>
        <v>#N/A</v>
      </c>
      <c r="O224" s="26"/>
      <c r="P224" s="7"/>
      <c r="Q224" s="39">
        <v>0</v>
      </c>
      <c r="R224" s="26"/>
      <c r="S224" s="39">
        <f t="shared" si="36"/>
        <v>0</v>
      </c>
      <c r="T224" s="6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396" t="s">
        <v>238</v>
      </c>
      <c r="B225" s="7" t="s">
        <v>222</v>
      </c>
      <c r="C225" s="26" t="s">
        <v>19</v>
      </c>
      <c r="D225" s="54"/>
      <c r="E225" s="7"/>
      <c r="F225" s="19" t="e">
        <v>#N/A</v>
      </c>
      <c r="G225" s="56"/>
      <c r="H225" s="7"/>
      <c r="I225" s="19"/>
      <c r="J225" s="26"/>
      <c r="K225" s="7"/>
      <c r="L225" s="39">
        <v>0</v>
      </c>
      <c r="M225" s="26"/>
      <c r="N225" s="39" t="e">
        <f t="shared" si="35"/>
        <v>#N/A</v>
      </c>
      <c r="O225" s="26"/>
      <c r="P225" s="7"/>
      <c r="Q225" s="39">
        <v>0</v>
      </c>
      <c r="R225" s="26"/>
      <c r="S225" s="39">
        <f t="shared" si="36"/>
        <v>0</v>
      </c>
      <c r="T225" s="6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396" t="s">
        <v>238</v>
      </c>
      <c r="B226" s="7" t="s">
        <v>222</v>
      </c>
      <c r="C226" s="26" t="s">
        <v>19</v>
      </c>
      <c r="D226" s="54"/>
      <c r="E226" s="7"/>
      <c r="F226" s="19" t="e">
        <v>#N/A</v>
      </c>
      <c r="G226" s="56"/>
      <c r="H226" s="7"/>
      <c r="I226" s="19"/>
      <c r="J226" s="26"/>
      <c r="K226" s="7"/>
      <c r="L226" s="39">
        <v>0</v>
      </c>
      <c r="M226" s="26"/>
      <c r="N226" s="39" t="e">
        <f t="shared" si="35"/>
        <v>#N/A</v>
      </c>
      <c r="O226" s="26"/>
      <c r="P226" s="7"/>
      <c r="Q226" s="39">
        <v>0</v>
      </c>
      <c r="R226" s="26"/>
      <c r="S226" s="39">
        <f t="shared" si="36"/>
        <v>0</v>
      </c>
      <c r="T226" s="9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396" t="s">
        <v>263</v>
      </c>
      <c r="B227" s="7" t="s">
        <v>222</v>
      </c>
      <c r="C227" s="139" t="s">
        <v>63</v>
      </c>
      <c r="D227" s="62" t="s">
        <v>38</v>
      </c>
      <c r="E227" s="63" t="e">
        <f>F227/F$109</f>
        <v>#N/A</v>
      </c>
      <c r="F227" s="64" t="e">
        <f>+SUM(F210:F226)</f>
        <v>#N/A</v>
      </c>
      <c r="G227" s="65"/>
      <c r="H227" s="63"/>
      <c r="I227" s="64"/>
      <c r="J227" s="65" t="s">
        <v>38</v>
      </c>
      <c r="K227" s="63">
        <f>L227/L$109</f>
        <v>2.5931975104441445E-2</v>
      </c>
      <c r="L227" s="64">
        <f>+SUM(L210:L226)</f>
        <v>624.76999999999953</v>
      </c>
      <c r="M227" s="66"/>
      <c r="N227" s="64" t="e">
        <f t="shared" si="35"/>
        <v>#N/A</v>
      </c>
      <c r="O227" s="65" t="s">
        <v>38</v>
      </c>
      <c r="P227" s="63">
        <f>Q227/Q$109</f>
        <v>3.6734474511597396E-3</v>
      </c>
      <c r="Q227" s="64">
        <f>+SUM(Q210:Q226)</f>
        <v>123.02999999999975</v>
      </c>
      <c r="R227" s="67"/>
      <c r="S227" s="64">
        <f t="shared" si="36"/>
        <v>501.73999999999978</v>
      </c>
      <c r="T227" s="6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396" t="s">
        <v>70</v>
      </c>
      <c r="B228" s="7" t="s">
        <v>222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406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396" t="s">
        <v>264</v>
      </c>
      <c r="B229" s="7" t="s">
        <v>222</v>
      </c>
      <c r="C229" s="139" t="s">
        <v>64</v>
      </c>
      <c r="D229" s="62" t="s">
        <v>38</v>
      </c>
      <c r="E229" s="63" t="e">
        <f>F229/F$109</f>
        <v>#N/A</v>
      </c>
      <c r="F229" s="64" t="e">
        <f>F196+F209+F227</f>
        <v>#N/A</v>
      </c>
      <c r="G229" s="65"/>
      <c r="H229" s="63"/>
      <c r="I229" s="64"/>
      <c r="J229" s="65" t="s">
        <v>38</v>
      </c>
      <c r="K229" s="63">
        <f>L229/L$109</f>
        <v>0.27719532720561102</v>
      </c>
      <c r="L229" s="64">
        <f>L196+L209+L227</f>
        <v>6678.3700000000326</v>
      </c>
      <c r="M229" s="66"/>
      <c r="N229" s="64" t="e">
        <f t="shared" ref="N229:N236" si="37">L229-F229</f>
        <v>#N/A</v>
      </c>
      <c r="O229" s="65" t="s">
        <v>38</v>
      </c>
      <c r="P229" s="63">
        <f>Q229/Q$109</f>
        <v>1.778395244194932</v>
      </c>
      <c r="Q229" s="64">
        <f>Q196+Q209+Q227</f>
        <v>59561.480000000061</v>
      </c>
      <c r="R229" s="67"/>
      <c r="S229" s="64">
        <f t="shared" ref="S229:S236" si="38">L229-Q229</f>
        <v>-52883.11000000003</v>
      </c>
      <c r="T229" s="6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396" t="s">
        <v>265</v>
      </c>
      <c r="B230" s="7" t="s">
        <v>222</v>
      </c>
      <c r="C230" s="26" t="s">
        <v>266</v>
      </c>
      <c r="D230" s="94"/>
      <c r="E230" s="95"/>
      <c r="F230" s="19" t="e">
        <v>#N/A</v>
      </c>
      <c r="G230" s="96"/>
      <c r="H230" s="95"/>
      <c r="I230" s="19"/>
      <c r="J230" s="96"/>
      <c r="K230" s="95"/>
      <c r="L230" s="39">
        <v>0</v>
      </c>
      <c r="M230" s="26"/>
      <c r="N230" s="39" t="e">
        <f t="shared" si="37"/>
        <v>#N/A</v>
      </c>
      <c r="O230" s="96"/>
      <c r="P230" s="95"/>
      <c r="Q230" s="39">
        <v>0</v>
      </c>
      <c r="R230" s="26"/>
      <c r="S230" s="39">
        <f t="shared" si="38"/>
        <v>0</v>
      </c>
      <c r="T230" s="406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396" t="s">
        <v>267</v>
      </c>
      <c r="B231" s="7" t="s">
        <v>222</v>
      </c>
      <c r="C231" s="26" t="s">
        <v>268</v>
      </c>
      <c r="D231" s="94"/>
      <c r="E231" s="95"/>
      <c r="F231" s="19" t="e">
        <v>#N/A</v>
      </c>
      <c r="G231" s="96"/>
      <c r="H231" s="95"/>
      <c r="I231" s="19"/>
      <c r="J231" s="96"/>
      <c r="K231" s="95"/>
      <c r="L231" s="39">
        <v>0</v>
      </c>
      <c r="M231" s="26"/>
      <c r="N231" s="39" t="e">
        <f t="shared" si="37"/>
        <v>#N/A</v>
      </c>
      <c r="O231" s="96"/>
      <c r="P231" s="95"/>
      <c r="Q231" s="39">
        <v>0</v>
      </c>
      <c r="R231" s="26"/>
      <c r="S231" s="39">
        <f t="shared" si="38"/>
        <v>0</v>
      </c>
      <c r="T231" s="406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396" t="s">
        <v>269</v>
      </c>
      <c r="B232" s="7" t="s">
        <v>222</v>
      </c>
      <c r="C232" s="26" t="s">
        <v>77</v>
      </c>
      <c r="D232" s="54"/>
      <c r="E232" s="7"/>
      <c r="F232" s="19" t="e">
        <v>#N/A</v>
      </c>
      <c r="G232" s="56"/>
      <c r="H232" s="7"/>
      <c r="I232" s="19"/>
      <c r="J232" s="26"/>
      <c r="K232" s="7"/>
      <c r="L232" s="39">
        <v>0</v>
      </c>
      <c r="M232" s="26"/>
      <c r="N232" s="39" t="e">
        <f t="shared" si="37"/>
        <v>#N/A</v>
      </c>
      <c r="O232" s="26"/>
      <c r="P232" s="7"/>
      <c r="Q232" s="39">
        <v>0</v>
      </c>
      <c r="R232" s="26"/>
      <c r="S232" s="39">
        <f t="shared" si="38"/>
        <v>0</v>
      </c>
      <c r="T232" s="406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396" t="s">
        <v>270</v>
      </c>
      <c r="B233" s="7" t="s">
        <v>222</v>
      </c>
      <c r="C233" s="26" t="s">
        <v>67</v>
      </c>
      <c r="D233" s="273" t="e">
        <f>E233/474</f>
        <v>#N/A</v>
      </c>
      <c r="E233" s="274" t="e">
        <f>F233/#REF!</f>
        <v>#N/A</v>
      </c>
      <c r="F233" s="19" t="e">
        <v>#N/A</v>
      </c>
      <c r="G233" s="56"/>
      <c r="H233" s="7"/>
      <c r="I233" s="19"/>
      <c r="J233" s="275"/>
      <c r="K233" s="274"/>
      <c r="L233" s="39">
        <v>0</v>
      </c>
      <c r="M233" s="26"/>
      <c r="N233" s="39" t="e">
        <f t="shared" si="37"/>
        <v>#N/A</v>
      </c>
      <c r="O233" s="275"/>
      <c r="P233" s="274"/>
      <c r="Q233" s="39">
        <v>0</v>
      </c>
      <c r="R233" s="26"/>
      <c r="S233" s="39">
        <f t="shared" si="38"/>
        <v>0</v>
      </c>
      <c r="T233" s="406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396" t="s">
        <v>238</v>
      </c>
      <c r="B234" s="7" t="s">
        <v>70</v>
      </c>
      <c r="C234" s="26" t="s">
        <v>19</v>
      </c>
      <c r="D234" s="54"/>
      <c r="E234" s="7"/>
      <c r="F234" s="19" t="e">
        <v>#N/A</v>
      </c>
      <c r="G234" s="56"/>
      <c r="H234" s="7"/>
      <c r="I234" s="19"/>
      <c r="J234" s="26"/>
      <c r="K234" s="7"/>
      <c r="L234" s="39">
        <v>0</v>
      </c>
      <c r="M234" s="26"/>
      <c r="N234" s="39" t="e">
        <f t="shared" si="37"/>
        <v>#N/A</v>
      </c>
      <c r="O234" s="26"/>
      <c r="P234" s="7"/>
      <c r="Q234" s="39">
        <v>0</v>
      </c>
      <c r="R234" s="26"/>
      <c r="S234" s="39">
        <f t="shared" si="38"/>
        <v>0</v>
      </c>
      <c r="T234" s="406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396" t="s">
        <v>238</v>
      </c>
      <c r="B235" s="7" t="s">
        <v>70</v>
      </c>
      <c r="C235" s="26" t="s">
        <v>19</v>
      </c>
      <c r="D235" s="54"/>
      <c r="E235" s="7"/>
      <c r="F235" s="19" t="e">
        <v>#N/A</v>
      </c>
      <c r="G235" s="56"/>
      <c r="H235" s="7"/>
      <c r="I235" s="19"/>
      <c r="J235" s="26"/>
      <c r="K235" s="7"/>
      <c r="L235" s="39">
        <v>0</v>
      </c>
      <c r="M235" s="26"/>
      <c r="N235" s="39" t="e">
        <f t="shared" si="37"/>
        <v>#N/A</v>
      </c>
      <c r="O235" s="26"/>
      <c r="P235" s="7"/>
      <c r="Q235" s="39">
        <v>0</v>
      </c>
      <c r="R235" s="26"/>
      <c r="S235" s="39">
        <f t="shared" si="38"/>
        <v>0</v>
      </c>
      <c r="T235" s="40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396" t="s">
        <v>238</v>
      </c>
      <c r="B236" s="7" t="s">
        <v>70</v>
      </c>
      <c r="C236" s="14" t="s">
        <v>19</v>
      </c>
      <c r="D236" s="57"/>
      <c r="E236" s="73"/>
      <c r="F236" s="19" t="e">
        <v>#N/A</v>
      </c>
      <c r="G236" s="56"/>
      <c r="H236" s="7"/>
      <c r="I236" s="19"/>
      <c r="J236" s="26"/>
      <c r="K236" s="7"/>
      <c r="L236" s="39">
        <v>0</v>
      </c>
      <c r="M236" s="26"/>
      <c r="N236" s="39" t="e">
        <f t="shared" si="37"/>
        <v>#N/A</v>
      </c>
      <c r="O236" s="26"/>
      <c r="P236" s="7"/>
      <c r="Q236" s="39">
        <v>0</v>
      </c>
      <c r="R236" s="26"/>
      <c r="S236" s="39">
        <f t="shared" si="38"/>
        <v>0</v>
      </c>
      <c r="T236" s="40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396"/>
      <c r="B237" s="7"/>
      <c r="C237" s="139" t="s">
        <v>68</v>
      </c>
      <c r="D237" s="62"/>
      <c r="E237" s="63"/>
      <c r="F237" s="64" t="e">
        <f>+SUM(F230:F236)</f>
        <v>#N/A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 t="e">
        <f>SUM(N230:N233)</f>
        <v>#N/A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408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396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-22580.300000001596</v>
      </c>
      <c r="M239" s="280"/>
      <c r="N239" s="138" t="e">
        <f>L239-F239</f>
        <v>#REF!</v>
      </c>
      <c r="O239" s="279"/>
      <c r="P239" s="278"/>
      <c r="Q239" s="138">
        <f>Q182-Q229+Q237</f>
        <v>10748.989999999678</v>
      </c>
      <c r="R239" s="281"/>
      <c r="S239" s="138">
        <f>L239-Q239</f>
        <v>-33329.290000001274</v>
      </c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Réalisé, Aout 2026</v>
      </c>
      <c r="T242" s="405"/>
      <c r="U242" s="381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426" t="s">
        <v>5</v>
      </c>
      <c r="E244" s="427"/>
      <c r="F244" s="425"/>
      <c r="G244" s="424"/>
      <c r="H244" s="427"/>
      <c r="I244" s="425"/>
      <c r="J244" s="424" t="s">
        <v>7</v>
      </c>
      <c r="K244" s="427"/>
      <c r="L244" s="425"/>
      <c r="M244" s="424" t="s">
        <v>210</v>
      </c>
      <c r="N244" s="425"/>
      <c r="O244" s="426" t="s">
        <v>8</v>
      </c>
      <c r="P244" s="427"/>
      <c r="Q244" s="425"/>
      <c r="R244" s="424" t="s">
        <v>211</v>
      </c>
      <c r="S244" s="425"/>
      <c r="T244" s="409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396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217</v>
      </c>
      <c r="N245" s="84" t="s">
        <v>214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396" t="s">
        <v>344</v>
      </c>
      <c r="B246" s="7" t="s">
        <v>78</v>
      </c>
      <c r="C246" s="26" t="s">
        <v>81</v>
      </c>
      <c r="D246" s="55" t="e">
        <v>#N/A</v>
      </c>
      <c r="E246" s="55" t="e">
        <v>#N/A</v>
      </c>
      <c r="F246" s="55" t="e">
        <v>#N/A</v>
      </c>
      <c r="G246" s="40"/>
      <c r="H246" s="55"/>
      <c r="I246" s="55"/>
      <c r="J246" s="20">
        <v>207</v>
      </c>
      <c r="K246" s="55">
        <v>43729.439999999988</v>
      </c>
      <c r="L246" s="39">
        <v>29770.659999999993</v>
      </c>
      <c r="M246" s="99" t="e">
        <f>(K246-E246)/E246</f>
        <v>#N/A</v>
      </c>
      <c r="N246" s="39" t="e">
        <f>L246-F246</f>
        <v>#N/A</v>
      </c>
      <c r="O246" s="20">
        <v>182</v>
      </c>
      <c r="P246" s="55">
        <v>84926.969999999914</v>
      </c>
      <c r="Q246" s="39">
        <v>68605.589999999924</v>
      </c>
      <c r="R246" s="99">
        <f>IF(O246=0,0,J246/O246)</f>
        <v>1.1373626373626373</v>
      </c>
      <c r="S246" s="39">
        <f>L246-Q246</f>
        <v>-38834.929999999935</v>
      </c>
      <c r="T246" s="9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396" t="s">
        <v>345</v>
      </c>
      <c r="B247" s="7" t="s">
        <v>78</v>
      </c>
      <c r="C247" s="26" t="s">
        <v>82</v>
      </c>
      <c r="D247" s="55"/>
      <c r="E247" s="91"/>
      <c r="F247" s="100" t="e">
        <f>F246/E246</f>
        <v>#N/A</v>
      </c>
      <c r="G247" s="40"/>
      <c r="H247" s="91"/>
      <c r="I247" s="100"/>
      <c r="J247" s="40"/>
      <c r="K247" s="7"/>
      <c r="L247" s="100">
        <f>IF(L246=0,0,L246/K246)</f>
        <v>0.68079216198515236</v>
      </c>
      <c r="M247" s="99"/>
      <c r="N247" s="39"/>
      <c r="O247" s="40"/>
      <c r="P247" s="7"/>
      <c r="Q247" s="100">
        <f>IF(Q246=0,0,Q246/P246)</f>
        <v>0.80781864700930683</v>
      </c>
      <c r="R247" s="40"/>
      <c r="S247" s="100">
        <f>IF(Q246=0,0,(S246/Q246))</f>
        <v>-0.56606072478933533</v>
      </c>
      <c r="T247" s="9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396" t="s">
        <v>78</v>
      </c>
      <c r="B248" s="7" t="s">
        <v>78</v>
      </c>
      <c r="C248" s="14"/>
      <c r="D248" s="58"/>
      <c r="E248" s="312">
        <f>IFERROR(E246/D246,0)</f>
        <v>0</v>
      </c>
      <c r="F248" s="102"/>
      <c r="G248" s="103"/>
      <c r="H248" s="312"/>
      <c r="I248" s="102"/>
      <c r="J248" s="103"/>
      <c r="K248" s="312">
        <f>IFERROR(K246/J246,0)</f>
        <v>211.25333333333327</v>
      </c>
      <c r="L248" s="102"/>
      <c r="M248" s="104"/>
      <c r="N248" s="61"/>
      <c r="O248" s="103"/>
      <c r="P248" s="312">
        <f>IFERROR(P246/O246,0)</f>
        <v>466.63170329670282</v>
      </c>
      <c r="Q248" s="102"/>
      <c r="R248" s="103"/>
      <c r="S248" s="61"/>
      <c r="T248" s="9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396" t="s">
        <v>346</v>
      </c>
      <c r="B249" s="7" t="s">
        <v>78</v>
      </c>
      <c r="C249" s="71" t="s">
        <v>83</v>
      </c>
      <c r="D249" s="105" t="e">
        <v>#N/A</v>
      </c>
      <c r="E249" s="55" t="e">
        <v>#N/A</v>
      </c>
      <c r="F249" s="55" t="e">
        <v>#N/A</v>
      </c>
      <c r="G249" s="106"/>
      <c r="H249" s="55"/>
      <c r="I249" s="55"/>
      <c r="J249" s="20">
        <v>359</v>
      </c>
      <c r="K249" s="105">
        <v>58148.549999999988</v>
      </c>
      <c r="L249" s="39">
        <v>36946.75</v>
      </c>
      <c r="M249" s="99" t="e">
        <f>(K249-E249)/E249</f>
        <v>#N/A</v>
      </c>
      <c r="N249" s="72" t="e">
        <f>L249-F249</f>
        <v>#N/A</v>
      </c>
      <c r="O249" s="20">
        <v>320</v>
      </c>
      <c r="P249" s="105">
        <v>53852.140000000014</v>
      </c>
      <c r="Q249" s="39">
        <v>36807.390000000014</v>
      </c>
      <c r="R249" s="99">
        <f>IF(O249=0,0,J249/O249)</f>
        <v>1.121875</v>
      </c>
      <c r="S249" s="39">
        <f>L249-Q249</f>
        <v>139.35999999998603</v>
      </c>
      <c r="T249" s="97"/>
      <c r="U249" s="6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396" t="s">
        <v>345</v>
      </c>
      <c r="B250" s="7" t="s">
        <v>78</v>
      </c>
      <c r="C250" s="26" t="s">
        <v>82</v>
      </c>
      <c r="D250" s="7"/>
      <c r="E250" s="7"/>
      <c r="F250" s="100" t="e">
        <f>F249/E249</f>
        <v>#N/A</v>
      </c>
      <c r="G250" s="26"/>
      <c r="H250" s="7"/>
      <c r="I250" s="100"/>
      <c r="J250" s="26"/>
      <c r="K250" s="7"/>
      <c r="L250" s="100">
        <f>IF(L249=0,0,L249/K249)</f>
        <v>0.63538557711241306</v>
      </c>
      <c r="M250" s="99"/>
      <c r="N250" s="100"/>
      <c r="O250" s="26"/>
      <c r="P250" s="7"/>
      <c r="Q250" s="100">
        <f>IF(Q249=0,0,Q249/P249)</f>
        <v>0.68348982974492756</v>
      </c>
      <c r="R250" s="99"/>
      <c r="S250" s="100">
        <f>IF(Q249=0,0,(S249/Q249))</f>
        <v>3.7861961959265783E-3</v>
      </c>
      <c r="T250" s="6"/>
      <c r="U250" s="6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396" t="s">
        <v>78</v>
      </c>
      <c r="B251" s="7" t="s">
        <v>78</v>
      </c>
      <c r="C251" s="14"/>
      <c r="D251" s="73"/>
      <c r="E251" s="312">
        <f>IFERROR(E249/D249,0)</f>
        <v>0</v>
      </c>
      <c r="F251" s="102"/>
      <c r="G251" s="103"/>
      <c r="H251" s="312"/>
      <c r="I251" s="102"/>
      <c r="J251" s="103"/>
      <c r="K251" s="312">
        <f>IFERROR(K249/J249,0)</f>
        <v>161.9736768802228</v>
      </c>
      <c r="L251" s="102"/>
      <c r="M251" s="104"/>
      <c r="N251" s="61"/>
      <c r="O251" s="103"/>
      <c r="P251" s="312">
        <f>IFERROR(P249/O249,0)</f>
        <v>168.28793750000006</v>
      </c>
      <c r="Q251" s="102"/>
      <c r="R251" s="104"/>
      <c r="S251" s="102"/>
      <c r="T251" s="6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396" t="s">
        <v>347</v>
      </c>
      <c r="B252" s="7" t="s">
        <v>78</v>
      </c>
      <c r="C252" s="26" t="s">
        <v>84</v>
      </c>
      <c r="D252" s="55" t="e">
        <v>#N/A</v>
      </c>
      <c r="E252" s="55" t="e">
        <v>#N/A</v>
      </c>
      <c r="F252" s="55" t="e">
        <v>#N/A</v>
      </c>
      <c r="G252" s="40"/>
      <c r="H252" s="55"/>
      <c r="I252" s="55"/>
      <c r="J252" s="20">
        <v>366</v>
      </c>
      <c r="K252" s="105">
        <v>65529.689999999973</v>
      </c>
      <c r="L252" s="39">
        <v>48806.069999999963</v>
      </c>
      <c r="M252" s="99" t="e">
        <f>(K252-E252)/E252</f>
        <v>#N/A</v>
      </c>
      <c r="N252" s="39" t="e">
        <f>L252-F252</f>
        <v>#N/A</v>
      </c>
      <c r="O252" s="20">
        <v>364</v>
      </c>
      <c r="P252" s="105">
        <v>49083.510000000009</v>
      </c>
      <c r="Q252" s="39">
        <v>33279.23000000001</v>
      </c>
      <c r="R252" s="99">
        <f>IF(O252=0,0,J252/O252)</f>
        <v>1.0054945054945055</v>
      </c>
      <c r="S252" s="39">
        <f>L252-Q252</f>
        <v>15526.839999999953</v>
      </c>
      <c r="T252" s="9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396" t="s">
        <v>345</v>
      </c>
      <c r="B253" s="7" t="s">
        <v>78</v>
      </c>
      <c r="C253" s="26" t="s">
        <v>82</v>
      </c>
      <c r="D253" s="55"/>
      <c r="E253" s="91"/>
      <c r="F253" s="100" t="e">
        <f>F252/E252</f>
        <v>#N/A</v>
      </c>
      <c r="G253" s="40"/>
      <c r="H253" s="91"/>
      <c r="I253" s="100"/>
      <c r="J253" s="40"/>
      <c r="K253" s="91"/>
      <c r="L253" s="100">
        <f>IF(L252=0,0,L252/K252)</f>
        <v>0.74479323799639496</v>
      </c>
      <c r="M253" s="99"/>
      <c r="N253" s="39" t="e">
        <f>L253-F253</f>
        <v>#N/A</v>
      </c>
      <c r="O253" s="40"/>
      <c r="P253" s="91"/>
      <c r="Q253" s="100">
        <f>IF(Q252=0,0,Q252/P252)</f>
        <v>0.67801243228122854</v>
      </c>
      <c r="R253" s="40"/>
      <c r="S253" s="100">
        <f>IF(Q252=0,0,(S252/Q252))</f>
        <v>0.46656247755732172</v>
      </c>
      <c r="T253" s="9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396" t="s">
        <v>78</v>
      </c>
      <c r="B254" s="7" t="s">
        <v>78</v>
      </c>
      <c r="C254" s="26"/>
      <c r="D254" s="55"/>
      <c r="E254" s="312">
        <f>IFERROR(E252/D252,0)</f>
        <v>0</v>
      </c>
      <c r="F254" s="102"/>
      <c r="G254" s="103"/>
      <c r="H254" s="312"/>
      <c r="I254" s="102"/>
      <c r="J254" s="103"/>
      <c r="K254" s="312">
        <f>IFERROR(K252/J252,0)</f>
        <v>179.04286885245895</v>
      </c>
      <c r="L254" s="102"/>
      <c r="M254" s="104"/>
      <c r="N254" s="61"/>
      <c r="O254" s="103"/>
      <c r="P254" s="312">
        <f>IFERROR(P252/O252,0)</f>
        <v>134.84480769230771</v>
      </c>
      <c r="Q254" s="102"/>
      <c r="R254" s="103"/>
      <c r="S254" s="39"/>
      <c r="T254" s="97"/>
      <c r="U254" s="384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396" t="s">
        <v>348</v>
      </c>
      <c r="B255" s="7" t="s">
        <v>78</v>
      </c>
      <c r="C255" s="71" t="s">
        <v>85</v>
      </c>
      <c r="D255" s="105" t="e">
        <v>#N/A</v>
      </c>
      <c r="E255" s="55" t="e">
        <v>#N/A</v>
      </c>
      <c r="F255" s="55" t="e">
        <v>#N/A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 t="e">
        <f>IF(E255=0,0,(K255-E255)/E255)</f>
        <v>#N/A</v>
      </c>
      <c r="N255" s="72" t="e">
        <f>L255-F255</f>
        <v>#N/A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97"/>
      <c r="U255" s="6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396" t="s">
        <v>345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406"/>
      <c r="U256" s="384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396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2">
        <f>IFERROR(K255/J255,0)</f>
        <v>0</v>
      </c>
      <c r="L257" s="102"/>
      <c r="M257" s="103"/>
      <c r="N257" s="61"/>
      <c r="O257" s="103"/>
      <c r="P257" s="312">
        <f>IFERROR(P255/O255,0)</f>
        <v>0</v>
      </c>
      <c r="Q257" s="102"/>
      <c r="R257" s="14"/>
      <c r="S257" s="61"/>
      <c r="T257" s="406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396" t="s">
        <v>349</v>
      </c>
      <c r="B258" s="7" t="s">
        <v>78</v>
      </c>
      <c r="C258" s="26" t="s">
        <v>86</v>
      </c>
      <c r="D258" s="7"/>
      <c r="E258" s="7"/>
      <c r="F258" s="39" t="e">
        <v>#N/A</v>
      </c>
      <c r="G258" s="26"/>
      <c r="H258" s="55"/>
      <c r="I258" s="55"/>
      <c r="J258" s="40"/>
      <c r="K258" s="55"/>
      <c r="L258" s="55">
        <v>-5394.6400000000012</v>
      </c>
      <c r="M258" s="40"/>
      <c r="N258" s="39" t="e">
        <f>L258-F258</f>
        <v>#N/A</v>
      </c>
      <c r="O258" s="40"/>
      <c r="P258" s="55"/>
      <c r="Q258" s="55">
        <v>1303.8599999999969</v>
      </c>
      <c r="R258" s="313"/>
      <c r="S258" s="39">
        <f t="shared" ref="S258:S259" si="39">L258-Q258</f>
        <v>-6698.4999999999982</v>
      </c>
      <c r="T258" s="6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396" t="s">
        <v>350</v>
      </c>
      <c r="B259" s="7" t="s">
        <v>78</v>
      </c>
      <c r="C259" s="314" t="s">
        <v>87</v>
      </c>
      <c r="D259" s="116" t="e">
        <f>D246+D249+D252+D255+D258</f>
        <v>#N/A</v>
      </c>
      <c r="E259" s="116" t="e">
        <f>E246+E249+E252+E255+E258</f>
        <v>#N/A</v>
      </c>
      <c r="F259" s="117" t="e">
        <f>F246+F249+F252+F255+F258</f>
        <v>#N/A</v>
      </c>
      <c r="G259" s="118"/>
      <c r="H259" s="116"/>
      <c r="I259" s="117"/>
      <c r="J259" s="315">
        <f t="shared" ref="J259:K259" si="40">J246+J249+J252+J255+J258</f>
        <v>932</v>
      </c>
      <c r="K259" s="316">
        <f t="shared" si="40"/>
        <v>167407.67999999993</v>
      </c>
      <c r="L259" s="317">
        <f>L246+L249+L252+L255+L258</f>
        <v>110128.83999999995</v>
      </c>
      <c r="M259" s="318" t="e">
        <f>(K259-E259)/E259</f>
        <v>#N/A</v>
      </c>
      <c r="N259" s="317" t="e">
        <f>L259-F259</f>
        <v>#N/A</v>
      </c>
      <c r="O259" s="315">
        <f t="shared" ref="O259:P259" si="41">O246+O249+O252+O255+O258</f>
        <v>866</v>
      </c>
      <c r="P259" s="316">
        <f t="shared" si="41"/>
        <v>187862.61999999994</v>
      </c>
      <c r="Q259" s="317">
        <f>Q246+Q249+Q252+Q255+Q258</f>
        <v>139996.06999999995</v>
      </c>
      <c r="R259" s="27">
        <f>IF(O259=0,0,J259/O259)</f>
        <v>1.0762124711316396</v>
      </c>
      <c r="S259" s="117">
        <f t="shared" si="39"/>
        <v>-29867.229999999996</v>
      </c>
      <c r="T259" s="40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396" t="s">
        <v>351</v>
      </c>
      <c r="B260" s="7" t="s">
        <v>78</v>
      </c>
      <c r="C260" s="319" t="s">
        <v>88</v>
      </c>
      <c r="D260" s="119"/>
      <c r="E260" s="320"/>
      <c r="F260" s="120" t="e">
        <f>F259/E259</f>
        <v>#N/A</v>
      </c>
      <c r="G260" s="121"/>
      <c r="H260" s="320"/>
      <c r="I260" s="28"/>
      <c r="J260" s="114"/>
      <c r="K260" s="321">
        <f>IF(J259=0,0,K259/J259)</f>
        <v>179.62197424892696</v>
      </c>
      <c r="L260" s="28">
        <f>IF(L259=0,0,L259/K259)</f>
        <v>0.6578481943002854</v>
      </c>
      <c r="M260" s="114"/>
      <c r="N260" s="107" t="e">
        <f>N259/F259</f>
        <v>#N/A</v>
      </c>
      <c r="O260" s="114"/>
      <c r="P260" s="321">
        <f>IF(O259=0,0,P259/O259)</f>
        <v>216.93143187066968</v>
      </c>
      <c r="Q260" s="28">
        <f>IF(Q259=0,0,Q259/P259)</f>
        <v>0.74520450103378733</v>
      </c>
      <c r="R260" s="121"/>
      <c r="S260" s="28">
        <f>S259/Q259</f>
        <v>-0.21334334599535548</v>
      </c>
      <c r="T260" s="40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396" t="s">
        <v>78</v>
      </c>
      <c r="B261" s="7" t="s">
        <v>78</v>
      </c>
      <c r="C261" s="71"/>
      <c r="D261" s="105"/>
      <c r="E261" s="322"/>
      <c r="F261" s="72"/>
      <c r="G261" s="106"/>
      <c r="H261" s="322"/>
      <c r="I261" s="72"/>
      <c r="J261" s="106"/>
      <c r="K261" s="322"/>
      <c r="L261" s="72"/>
      <c r="M261" s="106"/>
      <c r="N261" s="72"/>
      <c r="O261" s="106"/>
      <c r="P261" s="322"/>
      <c r="Q261" s="72"/>
      <c r="R261" s="106"/>
      <c r="S261" s="72"/>
      <c r="T261" s="40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396" t="s">
        <v>352</v>
      </c>
      <c r="B262" s="7" t="s">
        <v>78</v>
      </c>
      <c r="C262" s="26" t="s">
        <v>89</v>
      </c>
      <c r="D262" s="55"/>
      <c r="E262" s="55" t="e">
        <v>#N/A</v>
      </c>
      <c r="F262" s="55" t="e">
        <v>#N/A</v>
      </c>
      <c r="G262" s="40"/>
      <c r="H262" s="55"/>
      <c r="I262" s="55"/>
      <c r="J262" s="20">
        <v>240</v>
      </c>
      <c r="K262" s="55">
        <v>19494.560000000005</v>
      </c>
      <c r="L262" s="39">
        <v>2169.0400000000027</v>
      </c>
      <c r="M262" s="99" t="e">
        <f>IF(E262=0,0,(K262-E262)/E262)</f>
        <v>#N/A</v>
      </c>
      <c r="N262" s="39" t="e">
        <f>L262-F262</f>
        <v>#N/A</v>
      </c>
      <c r="O262" s="20">
        <v>300</v>
      </c>
      <c r="P262" s="55">
        <v>27288.230000000025</v>
      </c>
      <c r="Q262" s="39">
        <v>4350.6100000000315</v>
      </c>
      <c r="R262" s="99">
        <f>IF(O262=0,0,J262/O262)</f>
        <v>0.8</v>
      </c>
      <c r="S262" s="39">
        <f>L262-Q262</f>
        <v>-2181.5700000000288</v>
      </c>
      <c r="T262" s="40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396" t="s">
        <v>345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0.11126386027691838</v>
      </c>
      <c r="M263" s="40"/>
      <c r="N263" s="39"/>
      <c r="O263" s="40"/>
      <c r="P263" s="91"/>
      <c r="Q263" s="100">
        <f>IF(Q262=0,0,Q262/P262)</f>
        <v>0.15943174035106078</v>
      </c>
      <c r="R263" s="40"/>
      <c r="S263" s="100">
        <f>IF(Q262=0,0,(S262/Q262))</f>
        <v>-0.50144002795010656</v>
      </c>
      <c r="T263" s="40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396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40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396" t="s">
        <v>353</v>
      </c>
      <c r="B265" s="7" t="s">
        <v>78</v>
      </c>
      <c r="C265" s="26" t="s">
        <v>90</v>
      </c>
      <c r="D265" s="7"/>
      <c r="E265" s="55" t="e">
        <v>#N/A</v>
      </c>
      <c r="F265" s="55" t="e">
        <v>#N/A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 t="e">
        <f>IF(E265=0,0,(K265-E265)/E265)</f>
        <v>#N/A</v>
      </c>
      <c r="N265" s="39" t="e">
        <f>L265-F265</f>
        <v>#N/A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40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396" t="s">
        <v>345</v>
      </c>
      <c r="B266" s="7" t="s">
        <v>78</v>
      </c>
      <c r="C266" s="26" t="s">
        <v>82</v>
      </c>
      <c r="D266" s="7"/>
      <c r="E266" s="91"/>
      <c r="F266" s="100" t="e">
        <f>IF(F265=0,0,F265/E265)</f>
        <v>#N/A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406"/>
      <c r="U266" s="383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396" t="s">
        <v>78</v>
      </c>
      <c r="B267" s="7" t="s">
        <v>78</v>
      </c>
      <c r="C267" s="323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40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396" t="s">
        <v>354</v>
      </c>
      <c r="B268" s="7" t="s">
        <v>78</v>
      </c>
      <c r="C268" s="264" t="s">
        <v>91</v>
      </c>
      <c r="D268" s="41"/>
      <c r="E268" s="42" t="e">
        <f>E259+E262+E265</f>
        <v>#N/A</v>
      </c>
      <c r="F268" s="43" t="e">
        <f>F259+F262+F265</f>
        <v>#N/A</v>
      </c>
      <c r="G268" s="44"/>
      <c r="H268" s="42"/>
      <c r="I268" s="43"/>
      <c r="J268" s="44"/>
      <c r="K268" s="41">
        <f t="shared" ref="K268" si="42">K259+K262+K265</f>
        <v>186902.23999999993</v>
      </c>
      <c r="L268" s="43">
        <f>L259+L262+L265</f>
        <v>112297.87999999996</v>
      </c>
      <c r="M268" s="44" t="e">
        <f>L269-F269</f>
        <v>#N/A</v>
      </c>
      <c r="N268" s="43" t="e">
        <f>L268-F268</f>
        <v>#N/A</v>
      </c>
      <c r="O268" s="44"/>
      <c r="P268" s="41">
        <f t="shared" ref="P268" si="43">P259+P262+P265</f>
        <v>215150.84999999998</v>
      </c>
      <c r="Q268" s="43">
        <f>Q259+Q262+Q265</f>
        <v>144346.68</v>
      </c>
      <c r="R268" s="44"/>
      <c r="S268" s="43">
        <f>L268-Q268</f>
        <v>-32048.800000000032</v>
      </c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396" t="s">
        <v>78</v>
      </c>
      <c r="B269" s="7" t="s">
        <v>78</v>
      </c>
      <c r="C269" s="47"/>
      <c r="D269" s="45"/>
      <c r="E269" s="45"/>
      <c r="F269" s="46" t="e">
        <f>F268/E268</f>
        <v>#N/A</v>
      </c>
      <c r="G269" s="47"/>
      <c r="H269" s="45"/>
      <c r="I269" s="46"/>
      <c r="J269" s="47"/>
      <c r="K269" s="265"/>
      <c r="L269" s="267">
        <f>L268/K268</f>
        <v>0.60083752875299945</v>
      </c>
      <c r="M269" s="48"/>
      <c r="N269" s="49" t="e">
        <f>N268/F268</f>
        <v>#N/A</v>
      </c>
      <c r="O269" s="47"/>
      <c r="P269" s="265"/>
      <c r="Q269" s="267">
        <f>Q268/P268</f>
        <v>0.67090917837415009</v>
      </c>
      <c r="R269" s="48"/>
      <c r="S269" s="267">
        <f>L268/S268</f>
        <v>-3.5039652030653206</v>
      </c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396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381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396" t="s">
        <v>355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396" t="s">
        <v>356</v>
      </c>
      <c r="B272" s="7" t="s">
        <v>78</v>
      </c>
      <c r="C272" s="271" t="s">
        <v>40</v>
      </c>
      <c r="D272" s="7"/>
      <c r="E272" s="7"/>
      <c r="F272" s="19" t="e">
        <v>#N/A</v>
      </c>
      <c r="G272" s="26"/>
      <c r="H272" s="7"/>
      <c r="I272" s="19"/>
      <c r="J272" s="26"/>
      <c r="K272" s="7"/>
      <c r="L272" s="39">
        <v>6514.1000000000058</v>
      </c>
      <c r="M272" s="26"/>
      <c r="N272" s="39" t="e">
        <f t="shared" ref="N272:N303" si="44">L272-F272</f>
        <v>#N/A</v>
      </c>
      <c r="O272" s="26"/>
      <c r="P272" s="7"/>
      <c r="Q272" s="39">
        <v>16125.249999999993</v>
      </c>
      <c r="R272" s="26"/>
      <c r="S272" s="39">
        <f t="shared" ref="S272:S303" si="45">L272-Q272</f>
        <v>-9611.1499999999869</v>
      </c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396" t="s">
        <v>357</v>
      </c>
      <c r="B273" s="7" t="s">
        <v>78</v>
      </c>
      <c r="C273" s="272" t="s">
        <v>41</v>
      </c>
      <c r="D273" s="54"/>
      <c r="E273" s="7"/>
      <c r="F273" s="31" t="e">
        <v>#N/A</v>
      </c>
      <c r="G273" s="56"/>
      <c r="H273" s="7"/>
      <c r="I273" s="31"/>
      <c r="J273" s="26"/>
      <c r="K273" s="7"/>
      <c r="L273" s="39">
        <v>6348.109999999986</v>
      </c>
      <c r="M273" s="26"/>
      <c r="N273" s="39" t="e">
        <f t="shared" si="44"/>
        <v>#N/A</v>
      </c>
      <c r="O273" s="26"/>
      <c r="P273" s="7"/>
      <c r="Q273" s="39">
        <v>23476.550000000017</v>
      </c>
      <c r="R273" s="26"/>
      <c r="S273" s="39">
        <f t="shared" si="45"/>
        <v>-17128.440000000031</v>
      </c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396" t="s">
        <v>358</v>
      </c>
      <c r="B274" s="7" t="s">
        <v>78</v>
      </c>
      <c r="C274" s="271" t="s">
        <v>42</v>
      </c>
      <c r="D274" s="68"/>
      <c r="E274" s="69"/>
      <c r="F274" s="19" t="e">
        <v>#N/A</v>
      </c>
      <c r="G274" s="70"/>
      <c r="H274" s="69"/>
      <c r="I274" s="19"/>
      <c r="J274" s="71"/>
      <c r="K274" s="69"/>
      <c r="L274" s="72">
        <v>11770.770000000004</v>
      </c>
      <c r="M274" s="71"/>
      <c r="N274" s="72" t="e">
        <f t="shared" si="44"/>
        <v>#N/A</v>
      </c>
      <c r="O274" s="71"/>
      <c r="P274" s="69"/>
      <c r="Q274" s="72">
        <v>27417.919999999984</v>
      </c>
      <c r="R274" s="71"/>
      <c r="S274" s="72">
        <f t="shared" si="45"/>
        <v>-15647.14999999998</v>
      </c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396" t="s">
        <v>359</v>
      </c>
      <c r="B275" s="7" t="s">
        <v>78</v>
      </c>
      <c r="C275" s="271" t="s">
        <v>43</v>
      </c>
      <c r="D275" s="54"/>
      <c r="E275" s="324" t="e">
        <f>F275/E246</f>
        <v>#N/A</v>
      </c>
      <c r="F275" s="19" t="e">
        <v>#N/A</v>
      </c>
      <c r="G275" s="56"/>
      <c r="H275" s="7"/>
      <c r="I275" s="19"/>
      <c r="J275" s="26"/>
      <c r="K275" s="325"/>
      <c r="L275" s="39">
        <v>9149.14</v>
      </c>
      <c r="M275" s="26"/>
      <c r="N275" s="39" t="e">
        <f t="shared" si="44"/>
        <v>#N/A</v>
      </c>
      <c r="O275" s="26"/>
      <c r="P275" s="325"/>
      <c r="Q275" s="39">
        <v>0</v>
      </c>
      <c r="R275" s="26"/>
      <c r="S275" s="39">
        <f t="shared" si="45"/>
        <v>9149.14</v>
      </c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396" t="s">
        <v>360</v>
      </c>
      <c r="B276" s="7" t="s">
        <v>78</v>
      </c>
      <c r="C276" s="26" t="s">
        <v>19</v>
      </c>
      <c r="D276" s="54"/>
      <c r="E276" s="7"/>
      <c r="F276" s="19" t="e">
        <v>#N/A</v>
      </c>
      <c r="G276" s="56"/>
      <c r="H276" s="7"/>
      <c r="I276" s="19"/>
      <c r="J276" s="26"/>
      <c r="K276" s="7"/>
      <c r="L276" s="39">
        <v>0</v>
      </c>
      <c r="M276" s="26"/>
      <c r="N276" s="39" t="e">
        <f t="shared" si="44"/>
        <v>#N/A</v>
      </c>
      <c r="O276" s="26"/>
      <c r="P276" s="7"/>
      <c r="Q276" s="39">
        <v>0</v>
      </c>
      <c r="R276" s="26"/>
      <c r="S276" s="39">
        <f t="shared" si="45"/>
        <v>0</v>
      </c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396" t="s">
        <v>360</v>
      </c>
      <c r="B277" s="7" t="s">
        <v>78</v>
      </c>
      <c r="C277" s="26" t="s">
        <v>19</v>
      </c>
      <c r="D277" s="54"/>
      <c r="E277" s="7"/>
      <c r="F277" s="19" t="e">
        <v>#N/A</v>
      </c>
      <c r="G277" s="56"/>
      <c r="H277" s="7"/>
      <c r="I277" s="19"/>
      <c r="J277" s="26"/>
      <c r="K277" s="7"/>
      <c r="L277" s="39">
        <v>0</v>
      </c>
      <c r="M277" s="26"/>
      <c r="N277" s="39" t="e">
        <f t="shared" si="44"/>
        <v>#N/A</v>
      </c>
      <c r="O277" s="26"/>
      <c r="P277" s="7"/>
      <c r="Q277" s="39">
        <v>0</v>
      </c>
      <c r="R277" s="26"/>
      <c r="S277" s="39">
        <f t="shared" si="45"/>
        <v>0</v>
      </c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396" t="s">
        <v>360</v>
      </c>
      <c r="B278" s="7" t="s">
        <v>78</v>
      </c>
      <c r="C278" s="26" t="s">
        <v>19</v>
      </c>
      <c r="D278" s="54"/>
      <c r="E278" s="7"/>
      <c r="F278" s="19" t="e">
        <v>#N/A</v>
      </c>
      <c r="G278" s="56"/>
      <c r="H278" s="7"/>
      <c r="I278" s="19"/>
      <c r="J278" s="26"/>
      <c r="K278" s="7"/>
      <c r="L278" s="39">
        <v>0</v>
      </c>
      <c r="M278" s="26"/>
      <c r="N278" s="39" t="e">
        <f t="shared" si="44"/>
        <v>#N/A</v>
      </c>
      <c r="O278" s="26"/>
      <c r="P278" s="7"/>
      <c r="Q278" s="39">
        <v>0</v>
      </c>
      <c r="R278" s="26"/>
      <c r="S278" s="39">
        <f t="shared" si="45"/>
        <v>0</v>
      </c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396" t="s">
        <v>361</v>
      </c>
      <c r="B279" s="7" t="s">
        <v>78</v>
      </c>
      <c r="C279" s="272" t="s">
        <v>44</v>
      </c>
      <c r="D279" s="54"/>
      <c r="E279" s="7"/>
      <c r="F279" s="19" t="e">
        <v>#N/A</v>
      </c>
      <c r="G279" s="56"/>
      <c r="H279" s="7"/>
      <c r="I279" s="19"/>
      <c r="J279" s="26"/>
      <c r="K279" s="7"/>
      <c r="L279" s="39">
        <v>7931.0699999999924</v>
      </c>
      <c r="M279" s="26"/>
      <c r="N279" s="39" t="e">
        <f t="shared" si="44"/>
        <v>#N/A</v>
      </c>
      <c r="O279" s="26"/>
      <c r="P279" s="7"/>
      <c r="Q279" s="39">
        <v>6063.6399999999994</v>
      </c>
      <c r="R279" s="26"/>
      <c r="S279" s="39">
        <f t="shared" si="45"/>
        <v>1867.429999999993</v>
      </c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396" t="s">
        <v>362</v>
      </c>
      <c r="B280" s="7" t="s">
        <v>78</v>
      </c>
      <c r="C280" s="271" t="s">
        <v>45</v>
      </c>
      <c r="D280" s="68"/>
      <c r="E280" s="69"/>
      <c r="F280" s="36" t="e">
        <v>#N/A</v>
      </c>
      <c r="G280" s="70"/>
      <c r="H280" s="69"/>
      <c r="I280" s="36"/>
      <c r="J280" s="71"/>
      <c r="K280" s="69"/>
      <c r="L280" s="72">
        <v>18011.47</v>
      </c>
      <c r="M280" s="71"/>
      <c r="N280" s="72" t="e">
        <f t="shared" si="44"/>
        <v>#N/A</v>
      </c>
      <c r="O280" s="71"/>
      <c r="P280" s="69"/>
      <c r="Q280" s="72">
        <v>16394.299999999988</v>
      </c>
      <c r="R280" s="71"/>
      <c r="S280" s="72">
        <f t="shared" si="45"/>
        <v>1617.1700000000128</v>
      </c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396" t="s">
        <v>363</v>
      </c>
      <c r="B281" s="7" t="s">
        <v>78</v>
      </c>
      <c r="C281" s="271" t="s">
        <v>46</v>
      </c>
      <c r="D281" s="54"/>
      <c r="E281" s="7"/>
      <c r="F281" s="19" t="e">
        <v>#N/A</v>
      </c>
      <c r="G281" s="56"/>
      <c r="H281" s="7"/>
      <c r="I281" s="19"/>
      <c r="J281" s="26"/>
      <c r="K281" s="7"/>
      <c r="L281" s="39">
        <v>2533.0500000000029</v>
      </c>
      <c r="M281" s="26"/>
      <c r="N281" s="39" t="e">
        <f t="shared" si="44"/>
        <v>#N/A</v>
      </c>
      <c r="O281" s="26"/>
      <c r="P281" s="7"/>
      <c r="Q281" s="39">
        <v>10201.849999999991</v>
      </c>
      <c r="R281" s="26"/>
      <c r="S281" s="39">
        <f t="shared" si="45"/>
        <v>-7668.7999999999884</v>
      </c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396" t="s">
        <v>364</v>
      </c>
      <c r="B282" s="7" t="s">
        <v>78</v>
      </c>
      <c r="C282" s="271" t="s">
        <v>47</v>
      </c>
      <c r="D282" s="54"/>
      <c r="E282" s="7"/>
      <c r="F282" s="19" t="e">
        <v>#N/A</v>
      </c>
      <c r="G282" s="56"/>
      <c r="H282" s="7"/>
      <c r="I282" s="19"/>
      <c r="J282" s="26"/>
      <c r="K282" s="7"/>
      <c r="L282" s="39">
        <v>4646.7799999999988</v>
      </c>
      <c r="M282" s="26"/>
      <c r="N282" s="39" t="e">
        <f t="shared" si="44"/>
        <v>#N/A</v>
      </c>
      <c r="O282" s="26"/>
      <c r="P282" s="7"/>
      <c r="Q282" s="39">
        <v>828.33000000000084</v>
      </c>
      <c r="R282" s="26"/>
      <c r="S282" s="39">
        <f t="shared" si="45"/>
        <v>3818.449999999998</v>
      </c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396" t="s">
        <v>360</v>
      </c>
      <c r="B283" s="7" t="s">
        <v>78</v>
      </c>
      <c r="C283" s="26" t="s">
        <v>19</v>
      </c>
      <c r="D283" s="57"/>
      <c r="E283" s="73"/>
      <c r="F283" s="19" t="e">
        <v>#N/A</v>
      </c>
      <c r="G283" s="59"/>
      <c r="H283" s="73"/>
      <c r="I283" s="19"/>
      <c r="J283" s="14"/>
      <c r="K283" s="73"/>
      <c r="L283" s="39">
        <v>0</v>
      </c>
      <c r="M283" s="14"/>
      <c r="N283" s="21" t="e">
        <f t="shared" si="44"/>
        <v>#N/A</v>
      </c>
      <c r="O283" s="14"/>
      <c r="P283" s="73"/>
      <c r="Q283" s="39">
        <v>0</v>
      </c>
      <c r="R283" s="14"/>
      <c r="S283" s="61">
        <f t="shared" si="45"/>
        <v>0</v>
      </c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396" t="s">
        <v>365</v>
      </c>
      <c r="B284" s="7" t="s">
        <v>78</v>
      </c>
      <c r="C284" s="139" t="s">
        <v>48</v>
      </c>
      <c r="D284" s="62" t="s">
        <v>92</v>
      </c>
      <c r="E284" s="63" t="e">
        <f>F284/F$268</f>
        <v>#N/A</v>
      </c>
      <c r="F284" s="64" t="e">
        <f>+SUM(F272:F283)</f>
        <v>#N/A</v>
      </c>
      <c r="G284" s="65"/>
      <c r="H284" s="63"/>
      <c r="I284" s="64"/>
      <c r="J284" s="65" t="s">
        <v>92</v>
      </c>
      <c r="K284" s="63">
        <f>L284/L$268</f>
        <v>0.59577696391062784</v>
      </c>
      <c r="L284" s="64">
        <f>+SUM(L272:L283)</f>
        <v>66904.489999999991</v>
      </c>
      <c r="M284" s="66"/>
      <c r="N284" s="64" t="e">
        <f t="shared" si="44"/>
        <v>#N/A</v>
      </c>
      <c r="O284" s="65" t="s">
        <v>92</v>
      </c>
      <c r="P284" s="63">
        <f>Q284/Q$268</f>
        <v>0.6962947814248307</v>
      </c>
      <c r="Q284" s="64">
        <f>+SUM(Q272:Q283)</f>
        <v>100507.83999999998</v>
      </c>
      <c r="R284" s="67"/>
      <c r="S284" s="64">
        <f t="shared" si="45"/>
        <v>-33603.349999999991</v>
      </c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396" t="s">
        <v>366</v>
      </c>
      <c r="B285" s="7" t="s">
        <v>78</v>
      </c>
      <c r="C285" s="26" t="s">
        <v>49</v>
      </c>
      <c r="D285" s="54"/>
      <c r="E285" s="7"/>
      <c r="F285" s="19" t="e">
        <v>#N/A</v>
      </c>
      <c r="G285" s="56"/>
      <c r="H285" s="7"/>
      <c r="I285" s="19"/>
      <c r="J285" s="26"/>
      <c r="K285" s="7"/>
      <c r="L285" s="39">
        <v>1581.380000000001</v>
      </c>
      <c r="M285" s="26"/>
      <c r="N285" s="39" t="e">
        <f t="shared" si="44"/>
        <v>#N/A</v>
      </c>
      <c r="O285" s="26"/>
      <c r="P285" s="7"/>
      <c r="Q285" s="39">
        <v>1140.6199999999999</v>
      </c>
      <c r="R285" s="26"/>
      <c r="S285" s="39">
        <f t="shared" si="45"/>
        <v>440.76000000000113</v>
      </c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396" t="s">
        <v>367</v>
      </c>
      <c r="B286" s="7" t="s">
        <v>78</v>
      </c>
      <c r="C286" s="26" t="s">
        <v>50</v>
      </c>
      <c r="D286" s="54"/>
      <c r="E286" s="7"/>
      <c r="F286" s="19" t="e">
        <v>#N/A</v>
      </c>
      <c r="G286" s="56"/>
      <c r="H286" s="7"/>
      <c r="I286" s="19"/>
      <c r="J286" s="26"/>
      <c r="K286" s="7"/>
      <c r="L286" s="39">
        <v>3927.7799999999988</v>
      </c>
      <c r="M286" s="26"/>
      <c r="N286" s="39" t="e">
        <f t="shared" si="44"/>
        <v>#N/A</v>
      </c>
      <c r="O286" s="26"/>
      <c r="P286" s="7"/>
      <c r="Q286" s="39">
        <v>104.22999999999956</v>
      </c>
      <c r="R286" s="26"/>
      <c r="S286" s="39">
        <f t="shared" si="45"/>
        <v>3823.5499999999993</v>
      </c>
      <c r="T286" s="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396" t="s">
        <v>368</v>
      </c>
      <c r="B287" s="7" t="s">
        <v>78</v>
      </c>
      <c r="C287" s="14" t="s">
        <v>51</v>
      </c>
      <c r="D287" s="57"/>
      <c r="E287" s="73"/>
      <c r="F287" s="31" t="e">
        <v>#N/A</v>
      </c>
      <c r="G287" s="59"/>
      <c r="H287" s="73"/>
      <c r="I287" s="31"/>
      <c r="J287" s="14"/>
      <c r="K287" s="73"/>
      <c r="L287" s="39">
        <v>9376.239999999998</v>
      </c>
      <c r="M287" s="14"/>
      <c r="N287" s="61" t="e">
        <f t="shared" si="44"/>
        <v>#N/A</v>
      </c>
      <c r="O287" s="14"/>
      <c r="P287" s="73"/>
      <c r="Q287" s="39">
        <v>-8070.07</v>
      </c>
      <c r="R287" s="14"/>
      <c r="S287" s="61">
        <f t="shared" si="45"/>
        <v>17446.309999999998</v>
      </c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396" t="s">
        <v>369</v>
      </c>
      <c r="B288" s="7" t="s">
        <v>78</v>
      </c>
      <c r="C288" s="26" t="s">
        <v>52</v>
      </c>
      <c r="D288" s="54"/>
      <c r="E288" s="7"/>
      <c r="F288" s="19" t="e">
        <v>#N/A</v>
      </c>
      <c r="G288" s="56"/>
      <c r="H288" s="7"/>
      <c r="I288" s="19"/>
      <c r="J288" s="26"/>
      <c r="K288" s="7"/>
      <c r="L288" s="72">
        <v>3118.8300000000017</v>
      </c>
      <c r="M288" s="26"/>
      <c r="N288" s="39" t="e">
        <f t="shared" si="44"/>
        <v>#N/A</v>
      </c>
      <c r="O288" s="26"/>
      <c r="P288" s="7"/>
      <c r="Q288" s="72">
        <v>2846.3300000000017</v>
      </c>
      <c r="R288" s="26"/>
      <c r="S288" s="39">
        <f t="shared" si="45"/>
        <v>272.5</v>
      </c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396" t="s">
        <v>370</v>
      </c>
      <c r="B289" s="7" t="s">
        <v>78</v>
      </c>
      <c r="C289" s="26" t="s">
        <v>53</v>
      </c>
      <c r="D289" s="54"/>
      <c r="E289" s="7"/>
      <c r="F289" s="19" t="e">
        <v>#N/A</v>
      </c>
      <c r="G289" s="56"/>
      <c r="H289" s="7"/>
      <c r="I289" s="19"/>
      <c r="J289" s="26"/>
      <c r="K289" s="7"/>
      <c r="L289" s="39">
        <v>836.06999999999971</v>
      </c>
      <c r="M289" s="26"/>
      <c r="N289" s="39" t="e">
        <f t="shared" si="44"/>
        <v>#N/A</v>
      </c>
      <c r="O289" s="26"/>
      <c r="P289" s="7"/>
      <c r="Q289" s="39">
        <v>480.54</v>
      </c>
      <c r="R289" s="26"/>
      <c r="S289" s="39">
        <f t="shared" si="45"/>
        <v>355.52999999999969</v>
      </c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396" t="s">
        <v>371</v>
      </c>
      <c r="B290" s="7" t="s">
        <v>78</v>
      </c>
      <c r="C290" s="14" t="s">
        <v>54</v>
      </c>
      <c r="D290" s="57"/>
      <c r="E290" s="73"/>
      <c r="F290" s="31" t="e">
        <v>#N/A</v>
      </c>
      <c r="G290" s="59"/>
      <c r="H290" s="73"/>
      <c r="I290" s="31"/>
      <c r="J290" s="14"/>
      <c r="K290" s="73"/>
      <c r="L290" s="39">
        <v>9569.130000000001</v>
      </c>
      <c r="M290" s="14"/>
      <c r="N290" s="61" t="e">
        <f t="shared" si="44"/>
        <v>#N/A</v>
      </c>
      <c r="O290" s="14"/>
      <c r="P290" s="73"/>
      <c r="Q290" s="39">
        <v>9592.5299999999916</v>
      </c>
      <c r="R290" s="14"/>
      <c r="S290" s="61">
        <f t="shared" si="45"/>
        <v>-23.399999999990541</v>
      </c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396" t="s">
        <v>372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44"/>
        <v>0</v>
      </c>
      <c r="O291" s="26"/>
      <c r="P291" s="7"/>
      <c r="Q291" s="72">
        <v>0</v>
      </c>
      <c r="R291" s="26"/>
      <c r="S291" s="39">
        <f t="shared" si="45"/>
        <v>0</v>
      </c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396" t="s">
        <v>373</v>
      </c>
      <c r="B292" s="7" t="s">
        <v>78</v>
      </c>
      <c r="C292" s="26" t="s">
        <v>55</v>
      </c>
      <c r="D292" s="54"/>
      <c r="E292" s="7"/>
      <c r="F292" s="19" t="e">
        <v>#N/A</v>
      </c>
      <c r="G292" s="56"/>
      <c r="H292" s="7"/>
      <c r="I292" s="19"/>
      <c r="J292" s="26"/>
      <c r="K292" s="7"/>
      <c r="L292" s="39">
        <v>2286.7900000000009</v>
      </c>
      <c r="M292" s="26"/>
      <c r="N292" s="39" t="e">
        <f t="shared" si="44"/>
        <v>#N/A</v>
      </c>
      <c r="O292" s="26"/>
      <c r="P292" s="7"/>
      <c r="Q292" s="39">
        <v>339.97999999999956</v>
      </c>
      <c r="R292" s="26"/>
      <c r="S292" s="39">
        <f t="shared" si="45"/>
        <v>1946.8100000000013</v>
      </c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396" t="s">
        <v>374</v>
      </c>
      <c r="B293" s="7" t="s">
        <v>78</v>
      </c>
      <c r="C293" s="26" t="s">
        <v>56</v>
      </c>
      <c r="D293" s="54"/>
      <c r="E293" s="7"/>
      <c r="F293" s="19" t="e">
        <v>#N/A</v>
      </c>
      <c r="G293" s="56"/>
      <c r="H293" s="7"/>
      <c r="I293" s="19"/>
      <c r="J293" s="26"/>
      <c r="K293" s="7"/>
      <c r="L293" s="39">
        <v>1307.99</v>
      </c>
      <c r="M293" s="26"/>
      <c r="N293" s="39" t="e">
        <f t="shared" si="44"/>
        <v>#N/A</v>
      </c>
      <c r="O293" s="26"/>
      <c r="P293" s="7"/>
      <c r="Q293" s="39">
        <v>0</v>
      </c>
      <c r="R293" s="26"/>
      <c r="S293" s="39">
        <f t="shared" si="45"/>
        <v>1307.99</v>
      </c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396" t="s">
        <v>375</v>
      </c>
      <c r="B294" s="7" t="s">
        <v>78</v>
      </c>
      <c r="C294" s="26" t="s">
        <v>57</v>
      </c>
      <c r="D294" s="54"/>
      <c r="E294" s="7"/>
      <c r="F294" s="19" t="e">
        <v>#N/A</v>
      </c>
      <c r="G294" s="56"/>
      <c r="H294" s="7"/>
      <c r="I294" s="19"/>
      <c r="J294" s="26"/>
      <c r="K294" s="7"/>
      <c r="L294" s="39">
        <v>1631.4700000000012</v>
      </c>
      <c r="M294" s="26"/>
      <c r="N294" s="39" t="e">
        <f t="shared" si="44"/>
        <v>#N/A</v>
      </c>
      <c r="O294" s="26"/>
      <c r="P294" s="55"/>
      <c r="Q294" s="39">
        <v>2013.92</v>
      </c>
      <c r="R294" s="26"/>
      <c r="S294" s="39">
        <f t="shared" si="45"/>
        <v>-382.44999999999891</v>
      </c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396" t="s">
        <v>376</v>
      </c>
      <c r="B295" s="7" t="s">
        <v>78</v>
      </c>
      <c r="C295" s="26" t="s">
        <v>58</v>
      </c>
      <c r="D295" s="54"/>
      <c r="E295" s="7"/>
      <c r="F295" s="19" t="e">
        <v>#N/A</v>
      </c>
      <c r="G295" s="56"/>
      <c r="H295" s="7"/>
      <c r="I295" s="19"/>
      <c r="J295" s="26"/>
      <c r="K295" s="7"/>
      <c r="L295" s="39">
        <v>727.34999999999991</v>
      </c>
      <c r="M295" s="26"/>
      <c r="N295" s="39" t="e">
        <f t="shared" si="44"/>
        <v>#N/A</v>
      </c>
      <c r="O295" s="26"/>
      <c r="P295" s="7"/>
      <c r="Q295" s="39">
        <v>1024.7799999999997</v>
      </c>
      <c r="R295" s="26"/>
      <c r="S295" s="39">
        <f t="shared" si="45"/>
        <v>-297.42999999999984</v>
      </c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396" t="s">
        <v>377</v>
      </c>
      <c r="B296" s="7" t="s">
        <v>78</v>
      </c>
      <c r="C296" s="26" t="s">
        <v>59</v>
      </c>
      <c r="D296" s="54"/>
      <c r="E296" s="7"/>
      <c r="F296" s="19" t="e">
        <v>#N/A</v>
      </c>
      <c r="G296" s="56"/>
      <c r="H296" s="7"/>
      <c r="I296" s="19"/>
      <c r="J296" s="26"/>
      <c r="K296" s="7"/>
      <c r="L296" s="39">
        <v>302.39999999999964</v>
      </c>
      <c r="M296" s="26"/>
      <c r="N296" s="39" t="e">
        <f t="shared" si="44"/>
        <v>#N/A</v>
      </c>
      <c r="O296" s="26"/>
      <c r="P296" s="7"/>
      <c r="Q296" s="39">
        <v>834.39999999999964</v>
      </c>
      <c r="R296" s="26"/>
      <c r="S296" s="39">
        <f t="shared" si="45"/>
        <v>-532</v>
      </c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396" t="s">
        <v>378</v>
      </c>
      <c r="B297" s="7" t="s">
        <v>78</v>
      </c>
      <c r="C297" s="26" t="s">
        <v>60</v>
      </c>
      <c r="D297" s="54"/>
      <c r="E297" s="7"/>
      <c r="F297" s="19" t="e">
        <v>#N/A</v>
      </c>
      <c r="G297" s="56"/>
      <c r="H297" s="7"/>
      <c r="I297" s="19"/>
      <c r="J297" s="26"/>
      <c r="K297" s="7"/>
      <c r="L297" s="39">
        <v>1422.1699999999996</v>
      </c>
      <c r="M297" s="26"/>
      <c r="N297" s="39" t="e">
        <f t="shared" si="44"/>
        <v>#N/A</v>
      </c>
      <c r="O297" s="26"/>
      <c r="P297" s="7"/>
      <c r="Q297" s="39">
        <v>2513.8199999999997</v>
      </c>
      <c r="R297" s="26"/>
      <c r="S297" s="39">
        <f t="shared" si="45"/>
        <v>-1091.6500000000001</v>
      </c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396" t="s">
        <v>379</v>
      </c>
      <c r="B298" s="7" t="s">
        <v>78</v>
      </c>
      <c r="C298" s="26" t="s">
        <v>61</v>
      </c>
      <c r="D298" s="54"/>
      <c r="E298" s="7"/>
      <c r="F298" s="19" t="e">
        <v>#N/A</v>
      </c>
      <c r="G298" s="56"/>
      <c r="H298" s="7"/>
      <c r="I298" s="19"/>
      <c r="J298" s="26"/>
      <c r="K298" s="7"/>
      <c r="L298" s="39">
        <v>1166</v>
      </c>
      <c r="M298" s="26"/>
      <c r="N298" s="39" t="e">
        <f t="shared" si="44"/>
        <v>#N/A</v>
      </c>
      <c r="O298" s="26"/>
      <c r="P298" s="7"/>
      <c r="Q298" s="39">
        <v>700.59000000000015</v>
      </c>
      <c r="R298" s="26"/>
      <c r="S298" s="39">
        <f t="shared" si="45"/>
        <v>465.40999999999985</v>
      </c>
      <c r="T298" s="6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396" t="s">
        <v>380</v>
      </c>
      <c r="B299" s="7" t="s">
        <v>78</v>
      </c>
      <c r="C299" s="26" t="s">
        <v>62</v>
      </c>
      <c r="D299" s="54"/>
      <c r="E299" s="7"/>
      <c r="F299" s="19" t="e">
        <v>#N/A</v>
      </c>
      <c r="G299" s="56"/>
      <c r="H299" s="7"/>
      <c r="I299" s="19"/>
      <c r="J299" s="26"/>
      <c r="K299" s="7"/>
      <c r="L299" s="39">
        <v>1425.5100000000002</v>
      </c>
      <c r="M299" s="26"/>
      <c r="N299" s="39" t="e">
        <f t="shared" si="44"/>
        <v>#N/A</v>
      </c>
      <c r="O299" s="26"/>
      <c r="P299" s="7"/>
      <c r="Q299" s="39">
        <v>312.42999999999984</v>
      </c>
      <c r="R299" s="26"/>
      <c r="S299" s="39">
        <f t="shared" si="45"/>
        <v>1113.0800000000004</v>
      </c>
      <c r="T299" s="6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396" t="s">
        <v>360</v>
      </c>
      <c r="B300" s="7" t="s">
        <v>78</v>
      </c>
      <c r="C300" s="26" t="s">
        <v>19</v>
      </c>
      <c r="D300" s="54"/>
      <c r="E300" s="7"/>
      <c r="F300" s="19" t="e">
        <v>#N/A</v>
      </c>
      <c r="G300" s="56"/>
      <c r="H300" s="7"/>
      <c r="I300" s="19"/>
      <c r="J300" s="26"/>
      <c r="K300" s="7"/>
      <c r="L300" s="39">
        <v>0</v>
      </c>
      <c r="M300" s="26"/>
      <c r="N300" s="39" t="e">
        <f t="shared" si="44"/>
        <v>#N/A</v>
      </c>
      <c r="O300" s="26"/>
      <c r="P300" s="7"/>
      <c r="Q300" s="39">
        <v>0</v>
      </c>
      <c r="R300" s="26"/>
      <c r="S300" s="39">
        <f t="shared" si="45"/>
        <v>0</v>
      </c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396" t="s">
        <v>360</v>
      </c>
      <c r="B301" s="7" t="s">
        <v>78</v>
      </c>
      <c r="C301" s="26" t="s">
        <v>19</v>
      </c>
      <c r="D301" s="54"/>
      <c r="E301" s="7"/>
      <c r="F301" s="19" t="e">
        <v>#N/A</v>
      </c>
      <c r="G301" s="56"/>
      <c r="H301" s="7"/>
      <c r="I301" s="19"/>
      <c r="J301" s="26"/>
      <c r="K301" s="7"/>
      <c r="L301" s="39">
        <v>0</v>
      </c>
      <c r="M301" s="26"/>
      <c r="N301" s="39" t="e">
        <f t="shared" si="44"/>
        <v>#N/A</v>
      </c>
      <c r="O301" s="26"/>
      <c r="P301" s="7"/>
      <c r="Q301" s="39">
        <v>0</v>
      </c>
      <c r="R301" s="26"/>
      <c r="S301" s="39">
        <f t="shared" si="45"/>
        <v>0</v>
      </c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396" t="s">
        <v>360</v>
      </c>
      <c r="B302" s="7" t="s">
        <v>78</v>
      </c>
      <c r="C302" s="26" t="s">
        <v>19</v>
      </c>
      <c r="D302" s="54"/>
      <c r="E302" s="7"/>
      <c r="F302" s="19" t="e">
        <v>#N/A</v>
      </c>
      <c r="G302" s="56"/>
      <c r="H302" s="7"/>
      <c r="I302" s="19"/>
      <c r="J302" s="26"/>
      <c r="K302" s="7"/>
      <c r="L302" s="39">
        <v>0</v>
      </c>
      <c r="M302" s="26"/>
      <c r="N302" s="39" t="e">
        <f t="shared" si="44"/>
        <v>#N/A</v>
      </c>
      <c r="O302" s="26"/>
      <c r="P302" s="7"/>
      <c r="Q302" s="39">
        <v>0</v>
      </c>
      <c r="R302" s="26"/>
      <c r="S302" s="39">
        <f t="shared" si="45"/>
        <v>0</v>
      </c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396"/>
      <c r="B303" s="7"/>
      <c r="C303" s="139" t="s">
        <v>63</v>
      </c>
      <c r="D303" s="62" t="s">
        <v>92</v>
      </c>
      <c r="E303" s="63" t="e">
        <f>F303/F$268</f>
        <v>#N/A</v>
      </c>
      <c r="F303" s="64" t="e">
        <f>+SUM(F285:F302)</f>
        <v>#N/A</v>
      </c>
      <c r="G303" s="65"/>
      <c r="H303" s="63"/>
      <c r="I303" s="64"/>
      <c r="J303" s="65" t="s">
        <v>92</v>
      </c>
      <c r="K303" s="63">
        <f>L303/L$268</f>
        <v>0.34443312732172698</v>
      </c>
      <c r="L303" s="64">
        <f>+SUM(L285:L302)</f>
        <v>38679.110000000008</v>
      </c>
      <c r="M303" s="66"/>
      <c r="N303" s="64" t="e">
        <f t="shared" si="44"/>
        <v>#N/A</v>
      </c>
      <c r="O303" s="65" t="s">
        <v>92</v>
      </c>
      <c r="P303" s="63">
        <f>Q303/Q$268</f>
        <v>9.5839405520099202E-2</v>
      </c>
      <c r="Q303" s="64">
        <f>+SUM(Q285:Q302)</f>
        <v>13834.099999999993</v>
      </c>
      <c r="R303" s="67"/>
      <c r="S303" s="64">
        <f t="shared" si="45"/>
        <v>24845.010000000017</v>
      </c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396"/>
      <c r="B305" s="7"/>
      <c r="C305" s="139" t="s">
        <v>64</v>
      </c>
      <c r="D305" s="62" t="s">
        <v>38</v>
      </c>
      <c r="E305" s="63" t="e">
        <f>F305/F$268</f>
        <v>#N/A</v>
      </c>
      <c r="F305" s="64" t="e">
        <f>F284+F303</f>
        <v>#N/A</v>
      </c>
      <c r="G305" s="65"/>
      <c r="H305" s="63"/>
      <c r="I305" s="64"/>
      <c r="J305" s="65" t="s">
        <v>38</v>
      </c>
      <c r="K305" s="63">
        <f>L305/L$268</f>
        <v>0.94021009123235488</v>
      </c>
      <c r="L305" s="64">
        <f>L284+L303</f>
        <v>105583.6</v>
      </c>
      <c r="M305" s="66"/>
      <c r="N305" s="64" t="e">
        <f>L305-F305</f>
        <v>#N/A</v>
      </c>
      <c r="O305" s="65" t="s">
        <v>38</v>
      </c>
      <c r="P305" s="63">
        <f>Q305/Q$268</f>
        <v>0.79213418694492999</v>
      </c>
      <c r="Q305" s="64">
        <f>Q284+Q303</f>
        <v>114341.93999999997</v>
      </c>
      <c r="R305" s="67"/>
      <c r="S305" s="64">
        <f>L305-Q305</f>
        <v>-8758.3399999999674</v>
      </c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396"/>
      <c r="B307" s="7"/>
      <c r="C307" s="276" t="s">
        <v>69</v>
      </c>
      <c r="D307" s="277"/>
      <c r="E307" s="278"/>
      <c r="F307" s="138" t="e">
        <f>F268-F305</f>
        <v>#N/A</v>
      </c>
      <c r="G307" s="279"/>
      <c r="H307" s="278"/>
      <c r="I307" s="138"/>
      <c r="J307" s="279"/>
      <c r="K307" s="278"/>
      <c r="L307" s="138">
        <f>L268-L305</f>
        <v>6714.2799999999552</v>
      </c>
      <c r="M307" s="280"/>
      <c r="N307" s="138" t="e">
        <f>L307-F307</f>
        <v>#N/A</v>
      </c>
      <c r="O307" s="279"/>
      <c r="P307" s="278"/>
      <c r="Q307" s="138">
        <f>Q268-Q305</f>
        <v>30004.74000000002</v>
      </c>
      <c r="R307" s="281"/>
      <c r="S307" s="138">
        <f>L307-Q307</f>
        <v>-23290.460000000065</v>
      </c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Réalisé, Aout 2026</v>
      </c>
      <c r="T310" s="405"/>
      <c r="U310" s="381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426" t="s">
        <v>5</v>
      </c>
      <c r="E312" s="427"/>
      <c r="F312" s="425"/>
      <c r="G312" s="424"/>
      <c r="H312" s="427"/>
      <c r="I312" s="425"/>
      <c r="J312" s="424" t="s">
        <v>7</v>
      </c>
      <c r="K312" s="427"/>
      <c r="L312" s="425"/>
      <c r="M312" s="424" t="s">
        <v>210</v>
      </c>
      <c r="N312" s="425"/>
      <c r="O312" s="426" t="s">
        <v>8</v>
      </c>
      <c r="P312" s="427"/>
      <c r="Q312" s="425"/>
      <c r="R312" s="424" t="s">
        <v>211</v>
      </c>
      <c r="S312" s="425"/>
      <c r="T312" s="409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396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214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396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396" t="s">
        <v>381</v>
      </c>
      <c r="B315" s="7" t="s">
        <v>94</v>
      </c>
      <c r="C315" s="26" t="s">
        <v>382</v>
      </c>
      <c r="D315" s="269" t="e">
        <v>#N/A</v>
      </c>
      <c r="E315" s="55" t="e">
        <v>#N/A</v>
      </c>
      <c r="F315" s="55" t="e">
        <v>#N/A</v>
      </c>
      <c r="G315" s="98"/>
      <c r="H315" s="55"/>
      <c r="I315" s="55"/>
      <c r="J315" s="40"/>
      <c r="K315" s="55">
        <v>92825.24</v>
      </c>
      <c r="L315" s="39">
        <v>41878.92</v>
      </c>
      <c r="M315" s="99">
        <f>IFERROR((K315-E315)/E315,0)</f>
        <v>0</v>
      </c>
      <c r="N315" s="39" t="e">
        <f>L315-F315</f>
        <v>#N/A</v>
      </c>
      <c r="O315" s="40"/>
      <c r="P315" s="55">
        <v>171568.72</v>
      </c>
      <c r="Q315" s="39">
        <v>70330.349999999977</v>
      </c>
      <c r="R315" s="99">
        <f>IF(O315=0,0,J315/O315)</f>
        <v>0</v>
      </c>
      <c r="S315" s="39">
        <f>L315-Q315</f>
        <v>-28451.429999999978</v>
      </c>
      <c r="T315" s="5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396" t="s">
        <v>383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0.45115875811363371</v>
      </c>
      <c r="M316" s="99"/>
      <c r="N316" s="39">
        <f>IFERROR(N315/M315,0)</f>
        <v>0</v>
      </c>
      <c r="O316" s="40"/>
      <c r="P316" s="7"/>
      <c r="Q316" s="100">
        <f>IFERROR(Q315/P315,0)</f>
        <v>0.40992524744603781</v>
      </c>
      <c r="R316" s="40"/>
      <c r="S316" s="100">
        <f>IF(Q315=0,0,(S315/Q315))</f>
        <v>-0.40453986081400117</v>
      </c>
      <c r="T316" s="5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396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396" t="s">
        <v>384</v>
      </c>
      <c r="B318" s="7" t="s">
        <v>94</v>
      </c>
      <c r="C318" s="71" t="s">
        <v>385</v>
      </c>
      <c r="D318" s="105" t="e">
        <v>#N/A</v>
      </c>
      <c r="E318" s="55" t="e">
        <v>#N/A</v>
      </c>
      <c r="F318" s="55" t="e">
        <v>#N/A</v>
      </c>
      <c r="G318" s="131"/>
      <c r="H318" s="55"/>
      <c r="I318" s="55"/>
      <c r="J318" s="106"/>
      <c r="K318" s="105">
        <v>8872.0999999999967</v>
      </c>
      <c r="L318" s="72">
        <v>5629.2899999999981</v>
      </c>
      <c r="M318" s="109">
        <f>IFERROR((K318-E318)/E318,0)</f>
        <v>0</v>
      </c>
      <c r="N318" s="72" t="e">
        <f>L318-F318</f>
        <v>#N/A</v>
      </c>
      <c r="O318" s="106"/>
      <c r="P318" s="105">
        <v>6142.4399999999987</v>
      </c>
      <c r="Q318" s="72">
        <v>14211.439999999999</v>
      </c>
      <c r="R318" s="99">
        <f>IF(O318=0,0,J318/O318)</f>
        <v>0</v>
      </c>
      <c r="S318" s="39">
        <f>L318-Q318</f>
        <v>-8582.1500000000015</v>
      </c>
      <c r="T318" s="407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396" t="s">
        <v>383</v>
      </c>
      <c r="B319" s="7" t="s">
        <v>94</v>
      </c>
      <c r="C319" s="26" t="s">
        <v>82</v>
      </c>
      <c r="D319" s="7"/>
      <c r="E319" s="91"/>
      <c r="F319" s="100" t="e">
        <f>F318/E318</f>
        <v>#N/A</v>
      </c>
      <c r="G319" s="26"/>
      <c r="H319" s="91"/>
      <c r="I319" s="100"/>
      <c r="J319" s="40"/>
      <c r="K319" s="7"/>
      <c r="L319" s="100">
        <f>IFERROR(L318/K318,0)</f>
        <v>0.63449352464467268</v>
      </c>
      <c r="M319" s="99"/>
      <c r="N319" s="39">
        <f>IFERROR(N318/F318,0)</f>
        <v>0</v>
      </c>
      <c r="O319" s="40"/>
      <c r="P319" s="7"/>
      <c r="Q319" s="100">
        <f>IFERROR(Q318/P318,0)</f>
        <v>2.3136473453546151</v>
      </c>
      <c r="R319" s="40"/>
      <c r="S319" s="100">
        <f>IF(Q318=0,0,(S318/Q318))</f>
        <v>-0.60389024616787623</v>
      </c>
      <c r="T319" s="407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396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407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396" t="s">
        <v>386</v>
      </c>
      <c r="B321" s="7" t="s">
        <v>94</v>
      </c>
      <c r="C321" s="71" t="s">
        <v>387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29108.209999999992</v>
      </c>
      <c r="L321" s="39">
        <v>16888.71999999999</v>
      </c>
      <c r="M321" s="99">
        <f>IFERROR((K321-E321)/E321,0)</f>
        <v>0</v>
      </c>
      <c r="N321" s="72">
        <f>L321-F321</f>
        <v>16888.71999999999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16888.71999999999</v>
      </c>
      <c r="T321" s="407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396" t="s">
        <v>383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0.58020469139119157</v>
      </c>
      <c r="M322" s="27"/>
      <c r="N322" s="28">
        <f>IF(L321=0,0,N321/L321)</f>
        <v>1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407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396"/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6"/>
      <c r="N323" s="327"/>
      <c r="O323" s="248"/>
      <c r="P323" s="249"/>
      <c r="Q323" s="108"/>
      <c r="R323" s="328"/>
      <c r="S323" s="108"/>
      <c r="T323" s="407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396"/>
      <c r="B324" s="7" t="s">
        <v>94</v>
      </c>
      <c r="C324" s="26" t="s">
        <v>388</v>
      </c>
      <c r="D324" s="7"/>
      <c r="E324" s="7"/>
      <c r="F324" s="100"/>
      <c r="G324" s="26"/>
      <c r="H324" s="7"/>
      <c r="I324" s="100"/>
      <c r="J324" s="26"/>
      <c r="K324" s="7"/>
      <c r="L324" s="39">
        <v>-1510.869999999999</v>
      </c>
      <c r="M324" s="27"/>
      <c r="N324" s="28"/>
      <c r="O324" s="26"/>
      <c r="P324" s="7"/>
      <c r="Q324" s="39">
        <v>4423.45</v>
      </c>
      <c r="R324" s="99">
        <f>IF(O324=0,0,J324/O324)</f>
        <v>0</v>
      </c>
      <c r="S324" s="39">
        <f>L324-Q324</f>
        <v>-5934.3199999999988</v>
      </c>
      <c r="T324" s="407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396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407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396" t="s">
        <v>389</v>
      </c>
      <c r="B326" s="7" t="s">
        <v>94</v>
      </c>
      <c r="C326" s="264" t="s">
        <v>390</v>
      </c>
      <c r="D326" s="41"/>
      <c r="E326" s="42" t="e">
        <f>E318+E321+E315</f>
        <v>#N/A</v>
      </c>
      <c r="F326" s="43" t="e">
        <f>F318+F321+F315</f>
        <v>#N/A</v>
      </c>
      <c r="G326" s="44"/>
      <c r="H326" s="42"/>
      <c r="I326" s="43"/>
      <c r="J326" s="44"/>
      <c r="K326" s="41">
        <f t="shared" ref="K326" si="46">K318+K321+K315</f>
        <v>130805.54999999999</v>
      </c>
      <c r="L326" s="43">
        <f>L318+L321+L315+L324</f>
        <v>62886.059999999983</v>
      </c>
      <c r="M326" s="44" t="e">
        <f>L327-F327</f>
        <v>#N/A</v>
      </c>
      <c r="N326" s="43" t="e">
        <f>L326-F326</f>
        <v>#N/A</v>
      </c>
      <c r="O326" s="44"/>
      <c r="P326" s="41">
        <f t="shared" ref="P326" si="47">P318+P321+P315</f>
        <v>177711.16</v>
      </c>
      <c r="Q326" s="43">
        <f>Q318+Q321+Q315+Q324</f>
        <v>88965.239999999976</v>
      </c>
      <c r="R326" s="44"/>
      <c r="S326" s="43">
        <f>L326-Q326</f>
        <v>-26079.179999999993</v>
      </c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396" t="s">
        <v>94</v>
      </c>
      <c r="B327" s="7" t="s">
        <v>94</v>
      </c>
      <c r="C327" s="47"/>
      <c r="D327" s="45"/>
      <c r="E327" s="45"/>
      <c r="F327" s="46" t="e">
        <f>F326/E326</f>
        <v>#N/A</v>
      </c>
      <c r="G327" s="47"/>
      <c r="H327" s="45"/>
      <c r="I327" s="46"/>
      <c r="J327" s="47"/>
      <c r="K327" s="265"/>
      <c r="L327" s="267">
        <f>L326/K326</f>
        <v>0.48075987601443509</v>
      </c>
      <c r="M327" s="48"/>
      <c r="N327" s="49" t="e">
        <f>N326/F326</f>
        <v>#N/A</v>
      </c>
      <c r="O327" s="47"/>
      <c r="P327" s="265"/>
      <c r="Q327" s="267">
        <f>Q326/P326</f>
        <v>0.50061706873108014</v>
      </c>
      <c r="R327" s="48"/>
      <c r="S327" s="267">
        <f>S326/Q326</f>
        <v>-0.29313898327031995</v>
      </c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396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396" t="s">
        <v>391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396" t="s">
        <v>392</v>
      </c>
      <c r="B330" s="7" t="s">
        <v>94</v>
      </c>
      <c r="C330" s="271" t="s">
        <v>40</v>
      </c>
      <c r="D330" s="7"/>
      <c r="E330" s="7"/>
      <c r="F330" s="19" t="e">
        <v>#N/A</v>
      </c>
      <c r="G330" s="26"/>
      <c r="H330" s="7"/>
      <c r="I330" s="19"/>
      <c r="J330" s="26"/>
      <c r="K330" s="7"/>
      <c r="L330" s="39">
        <v>14505.379999999997</v>
      </c>
      <c r="M330" s="26"/>
      <c r="N330" s="39" t="e">
        <f t="shared" ref="N330:N360" si="48">L330-F330</f>
        <v>#N/A</v>
      </c>
      <c r="O330" s="26"/>
      <c r="P330" s="7"/>
      <c r="Q330" s="39">
        <v>12365.089999999997</v>
      </c>
      <c r="R330" s="26"/>
      <c r="S330" s="39">
        <f t="shared" ref="S330:S361" si="49">L330-Q330</f>
        <v>2140.2900000000009</v>
      </c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396" t="s">
        <v>393</v>
      </c>
      <c r="B331" s="7" t="s">
        <v>94</v>
      </c>
      <c r="C331" s="272" t="s">
        <v>41</v>
      </c>
      <c r="D331" s="54"/>
      <c r="E331" s="7"/>
      <c r="F331" s="31" t="e">
        <v>#N/A</v>
      </c>
      <c r="G331" s="56"/>
      <c r="H331" s="7"/>
      <c r="I331" s="31"/>
      <c r="J331" s="26"/>
      <c r="K331" s="7"/>
      <c r="L331" s="39">
        <v>6524.5199999999968</v>
      </c>
      <c r="M331" s="26"/>
      <c r="N331" s="39" t="e">
        <f t="shared" si="48"/>
        <v>#N/A</v>
      </c>
      <c r="O331" s="26"/>
      <c r="P331" s="7"/>
      <c r="Q331" s="39">
        <v>6518.8700000000026</v>
      </c>
      <c r="R331" s="26"/>
      <c r="S331" s="39">
        <f t="shared" si="49"/>
        <v>5.6499999999941792</v>
      </c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396" t="s">
        <v>394</v>
      </c>
      <c r="B332" s="7" t="s">
        <v>94</v>
      </c>
      <c r="C332" s="271" t="s">
        <v>42</v>
      </c>
      <c r="D332" s="68"/>
      <c r="E332" s="69"/>
      <c r="F332" s="19" t="e">
        <v>#N/A</v>
      </c>
      <c r="G332" s="70"/>
      <c r="H332" s="69"/>
      <c r="I332" s="19"/>
      <c r="J332" s="71"/>
      <c r="K332" s="69"/>
      <c r="L332" s="72">
        <v>374.27</v>
      </c>
      <c r="M332" s="71"/>
      <c r="N332" s="72" t="e">
        <f t="shared" si="48"/>
        <v>#N/A</v>
      </c>
      <c r="O332" s="71"/>
      <c r="P332" s="69"/>
      <c r="Q332" s="72">
        <v>0</v>
      </c>
      <c r="R332" s="71"/>
      <c r="S332" s="72">
        <f t="shared" si="49"/>
        <v>374.27</v>
      </c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396" t="s">
        <v>395</v>
      </c>
      <c r="B333" s="7" t="s">
        <v>94</v>
      </c>
      <c r="C333" s="271" t="s">
        <v>43</v>
      </c>
      <c r="D333" s="54"/>
      <c r="E333" s="7"/>
      <c r="F333" s="19" t="e">
        <v>#N/A</v>
      </c>
      <c r="G333" s="56"/>
      <c r="H333" s="7"/>
      <c r="I333" s="19"/>
      <c r="J333" s="26"/>
      <c r="K333" s="7"/>
      <c r="L333" s="39">
        <v>0</v>
      </c>
      <c r="M333" s="26"/>
      <c r="N333" s="39" t="e">
        <f t="shared" si="48"/>
        <v>#N/A</v>
      </c>
      <c r="O333" s="26"/>
      <c r="P333" s="7"/>
      <c r="Q333" s="39">
        <v>0</v>
      </c>
      <c r="R333" s="26"/>
      <c r="S333" s="39">
        <f t="shared" si="49"/>
        <v>0</v>
      </c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396" t="s">
        <v>396</v>
      </c>
      <c r="B334" s="7" t="s">
        <v>94</v>
      </c>
      <c r="C334" s="26" t="s">
        <v>19</v>
      </c>
      <c r="D334" s="54"/>
      <c r="E334" s="7"/>
      <c r="F334" s="19" t="e">
        <v>#N/A</v>
      </c>
      <c r="G334" s="56"/>
      <c r="H334" s="7"/>
      <c r="I334" s="19"/>
      <c r="J334" s="26"/>
      <c r="K334" s="7"/>
      <c r="L334" s="39">
        <v>0</v>
      </c>
      <c r="M334" s="26"/>
      <c r="N334" s="39" t="e">
        <f t="shared" si="48"/>
        <v>#N/A</v>
      </c>
      <c r="O334" s="26"/>
      <c r="P334" s="7"/>
      <c r="Q334" s="39">
        <v>0</v>
      </c>
      <c r="R334" s="26"/>
      <c r="S334" s="39">
        <f t="shared" si="49"/>
        <v>0</v>
      </c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396" t="s">
        <v>396</v>
      </c>
      <c r="B335" s="7" t="s">
        <v>94</v>
      </c>
      <c r="C335" s="26" t="s">
        <v>19</v>
      </c>
      <c r="D335" s="54"/>
      <c r="E335" s="7"/>
      <c r="F335" s="19" t="e">
        <v>#N/A</v>
      </c>
      <c r="G335" s="56"/>
      <c r="H335" s="7"/>
      <c r="I335" s="19"/>
      <c r="J335" s="26"/>
      <c r="K335" s="7"/>
      <c r="L335" s="39">
        <v>0</v>
      </c>
      <c r="M335" s="26"/>
      <c r="N335" s="39" t="e">
        <f t="shared" si="48"/>
        <v>#N/A</v>
      </c>
      <c r="O335" s="26"/>
      <c r="P335" s="7"/>
      <c r="Q335" s="39">
        <v>0</v>
      </c>
      <c r="R335" s="26"/>
      <c r="S335" s="39">
        <f t="shared" si="49"/>
        <v>0</v>
      </c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396" t="s">
        <v>396</v>
      </c>
      <c r="B336" s="7" t="s">
        <v>94</v>
      </c>
      <c r="C336" s="26" t="s">
        <v>19</v>
      </c>
      <c r="D336" s="54"/>
      <c r="E336" s="7"/>
      <c r="F336" s="19" t="e">
        <v>#N/A</v>
      </c>
      <c r="G336" s="56"/>
      <c r="H336" s="7"/>
      <c r="I336" s="19"/>
      <c r="J336" s="26"/>
      <c r="K336" s="7"/>
      <c r="L336" s="39">
        <v>0</v>
      </c>
      <c r="M336" s="26"/>
      <c r="N336" s="39" t="e">
        <f t="shared" si="48"/>
        <v>#N/A</v>
      </c>
      <c r="O336" s="26"/>
      <c r="P336" s="7"/>
      <c r="Q336" s="39">
        <v>0</v>
      </c>
      <c r="R336" s="26"/>
      <c r="S336" s="39">
        <f t="shared" si="49"/>
        <v>0</v>
      </c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396" t="s">
        <v>397</v>
      </c>
      <c r="B337" s="7" t="s">
        <v>94</v>
      </c>
      <c r="C337" s="272" t="s">
        <v>44</v>
      </c>
      <c r="D337" s="54"/>
      <c r="E337" s="7"/>
      <c r="F337" s="31" t="e">
        <v>#N/A</v>
      </c>
      <c r="G337" s="56"/>
      <c r="H337" s="7"/>
      <c r="I337" s="31"/>
      <c r="J337" s="26"/>
      <c r="K337" s="7"/>
      <c r="L337" s="39">
        <v>3892.1799999999967</v>
      </c>
      <c r="M337" s="26"/>
      <c r="N337" s="39" t="e">
        <f t="shared" si="48"/>
        <v>#N/A</v>
      </c>
      <c r="O337" s="26"/>
      <c r="P337" s="7"/>
      <c r="Q337" s="39">
        <v>1160.2599999999984</v>
      </c>
      <c r="R337" s="26"/>
      <c r="S337" s="39">
        <f t="shared" si="49"/>
        <v>2731.9199999999983</v>
      </c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396" t="s">
        <v>398</v>
      </c>
      <c r="B338" s="7" t="s">
        <v>94</v>
      </c>
      <c r="C338" s="271" t="s">
        <v>45</v>
      </c>
      <c r="D338" s="68"/>
      <c r="E338" s="69"/>
      <c r="F338" s="19" t="e">
        <v>#N/A</v>
      </c>
      <c r="G338" s="70"/>
      <c r="H338" s="69"/>
      <c r="I338" s="19"/>
      <c r="J338" s="71"/>
      <c r="K338" s="69"/>
      <c r="L338" s="72">
        <v>5736.760000000002</v>
      </c>
      <c r="M338" s="71"/>
      <c r="N338" s="72" t="e">
        <f t="shared" si="48"/>
        <v>#N/A</v>
      </c>
      <c r="O338" s="71"/>
      <c r="P338" s="69"/>
      <c r="Q338" s="72">
        <v>4550.2700000000004</v>
      </c>
      <c r="R338" s="71"/>
      <c r="S338" s="72">
        <f t="shared" si="49"/>
        <v>1186.4900000000016</v>
      </c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396" t="s">
        <v>399</v>
      </c>
      <c r="B339" s="7" t="s">
        <v>94</v>
      </c>
      <c r="C339" s="271" t="s">
        <v>46</v>
      </c>
      <c r="D339" s="54"/>
      <c r="E339" s="7"/>
      <c r="F339" s="19" t="e">
        <v>#N/A</v>
      </c>
      <c r="G339" s="56"/>
      <c r="H339" s="7"/>
      <c r="I339" s="19"/>
      <c r="J339" s="26"/>
      <c r="K339" s="7"/>
      <c r="L339" s="39">
        <v>663.1299999999992</v>
      </c>
      <c r="M339" s="26"/>
      <c r="N339" s="39" t="e">
        <f t="shared" si="48"/>
        <v>#N/A</v>
      </c>
      <c r="O339" s="26"/>
      <c r="P339" s="7"/>
      <c r="Q339" s="39">
        <v>2780.4700000000012</v>
      </c>
      <c r="R339" s="26"/>
      <c r="S339" s="39">
        <f t="shared" si="49"/>
        <v>-2117.340000000002</v>
      </c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396" t="s">
        <v>400</v>
      </c>
      <c r="B340" s="7" t="s">
        <v>94</v>
      </c>
      <c r="C340" s="271" t="s">
        <v>47</v>
      </c>
      <c r="D340" s="54"/>
      <c r="E340" s="7"/>
      <c r="F340" s="19" t="e">
        <v>#N/A</v>
      </c>
      <c r="G340" s="56"/>
      <c r="H340" s="7"/>
      <c r="I340" s="19"/>
      <c r="J340" s="26"/>
      <c r="K340" s="7"/>
      <c r="L340" s="39">
        <v>1655.21</v>
      </c>
      <c r="M340" s="26"/>
      <c r="N340" s="39" t="e">
        <f t="shared" si="48"/>
        <v>#N/A</v>
      </c>
      <c r="O340" s="26"/>
      <c r="P340" s="7"/>
      <c r="Q340" s="39">
        <v>34.680000000000007</v>
      </c>
      <c r="R340" s="26"/>
      <c r="S340" s="39">
        <f t="shared" si="49"/>
        <v>1620.53</v>
      </c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396" t="s">
        <v>396</v>
      </c>
      <c r="B341" s="7" t="s">
        <v>94</v>
      </c>
      <c r="C341" s="26" t="s">
        <v>19</v>
      </c>
      <c r="D341" s="57"/>
      <c r="E341" s="73"/>
      <c r="F341" s="19" t="e">
        <v>#N/A</v>
      </c>
      <c r="G341" s="59"/>
      <c r="H341" s="73"/>
      <c r="I341" s="19"/>
      <c r="J341" s="14"/>
      <c r="K341" s="73"/>
      <c r="L341" s="39">
        <v>0</v>
      </c>
      <c r="M341" s="14"/>
      <c r="N341" s="61" t="e">
        <f t="shared" si="48"/>
        <v>#N/A</v>
      </c>
      <c r="O341" s="14"/>
      <c r="P341" s="73"/>
      <c r="Q341" s="39">
        <v>0</v>
      </c>
      <c r="R341" s="14"/>
      <c r="S341" s="61">
        <f t="shared" si="49"/>
        <v>0</v>
      </c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396" t="s">
        <v>401</v>
      </c>
      <c r="B342" s="7" t="s">
        <v>94</v>
      </c>
      <c r="C342" s="139" t="s">
        <v>48</v>
      </c>
      <c r="D342" s="62" t="s">
        <v>38</v>
      </c>
      <c r="E342" s="63" t="e">
        <f>F342/F$326</f>
        <v>#N/A</v>
      </c>
      <c r="F342" s="64" t="e">
        <f>+SUM(F330:F341)</f>
        <v>#N/A</v>
      </c>
      <c r="G342" s="65"/>
      <c r="H342" s="63"/>
      <c r="I342" s="64"/>
      <c r="J342" s="65" t="s">
        <v>38</v>
      </c>
      <c r="K342" s="63">
        <f>IF(L326=0,0,L342/L$326)</f>
        <v>0.53034726615087668</v>
      </c>
      <c r="L342" s="64">
        <f>+SUM(L330:L341)</f>
        <v>33351.44999999999</v>
      </c>
      <c r="M342" s="66"/>
      <c r="N342" s="64" t="e">
        <f t="shared" si="48"/>
        <v>#N/A</v>
      </c>
      <c r="O342" s="65" t="s">
        <v>38</v>
      </c>
      <c r="P342" s="63">
        <f>IF(Q326=0,0,Q342/Q$326)</f>
        <v>0.30809381281947879</v>
      </c>
      <c r="Q342" s="64">
        <f>+SUM(Q330:Q341)</f>
        <v>27409.64</v>
      </c>
      <c r="R342" s="67"/>
      <c r="S342" s="64">
        <f t="shared" si="49"/>
        <v>5941.8099999999904</v>
      </c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396" t="s">
        <v>402</v>
      </c>
      <c r="B343" s="7" t="s">
        <v>94</v>
      </c>
      <c r="C343" s="329" t="s">
        <v>49</v>
      </c>
      <c r="D343" s="54"/>
      <c r="E343" s="7"/>
      <c r="F343" s="19" t="e">
        <v>#N/A</v>
      </c>
      <c r="G343" s="56"/>
      <c r="H343" s="7"/>
      <c r="I343" s="19"/>
      <c r="J343" s="26"/>
      <c r="K343" s="7"/>
      <c r="L343" s="39">
        <v>52.450000000000045</v>
      </c>
      <c r="M343" s="26"/>
      <c r="N343" s="39" t="e">
        <f t="shared" si="48"/>
        <v>#N/A</v>
      </c>
      <c r="O343" s="26"/>
      <c r="P343" s="7"/>
      <c r="Q343" s="39">
        <v>955.95</v>
      </c>
      <c r="R343" s="26"/>
      <c r="S343" s="39">
        <f t="shared" si="49"/>
        <v>-903.5</v>
      </c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396" t="s">
        <v>403</v>
      </c>
      <c r="B344" s="7" t="s">
        <v>94</v>
      </c>
      <c r="C344" s="271" t="s">
        <v>50</v>
      </c>
      <c r="D344" s="54"/>
      <c r="E344" s="7"/>
      <c r="F344" s="19" t="e">
        <v>#N/A</v>
      </c>
      <c r="G344" s="56"/>
      <c r="H344" s="7"/>
      <c r="I344" s="19"/>
      <c r="J344" s="26"/>
      <c r="K344" s="7"/>
      <c r="L344" s="39">
        <v>171.29000000000087</v>
      </c>
      <c r="M344" s="26"/>
      <c r="N344" s="39" t="e">
        <f t="shared" si="48"/>
        <v>#N/A</v>
      </c>
      <c r="O344" s="26"/>
      <c r="P344" s="7"/>
      <c r="Q344" s="39">
        <v>483.31000000000131</v>
      </c>
      <c r="R344" s="26"/>
      <c r="S344" s="39">
        <f t="shared" si="49"/>
        <v>-312.02000000000044</v>
      </c>
      <c r="T344" s="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396" t="s">
        <v>404</v>
      </c>
      <c r="B345" s="7" t="s">
        <v>94</v>
      </c>
      <c r="C345" s="272" t="s">
        <v>51</v>
      </c>
      <c r="D345" s="57"/>
      <c r="E345" s="73"/>
      <c r="F345" s="31" t="e">
        <v>#N/A</v>
      </c>
      <c r="G345" s="59"/>
      <c r="H345" s="73"/>
      <c r="I345" s="31"/>
      <c r="J345" s="14"/>
      <c r="K345" s="73"/>
      <c r="L345" s="39">
        <v>7636.6500000000005</v>
      </c>
      <c r="M345" s="14"/>
      <c r="N345" s="61" t="e">
        <f t="shared" si="48"/>
        <v>#N/A</v>
      </c>
      <c r="O345" s="14"/>
      <c r="P345" s="73"/>
      <c r="Q345" s="39">
        <v>-3839.2400000000007</v>
      </c>
      <c r="R345" s="14"/>
      <c r="S345" s="61">
        <f t="shared" si="49"/>
        <v>11475.890000000001</v>
      </c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396" t="s">
        <v>405</v>
      </c>
      <c r="B346" s="7" t="s">
        <v>94</v>
      </c>
      <c r="C346" s="271" t="s">
        <v>52</v>
      </c>
      <c r="D346" s="54"/>
      <c r="E346" s="7"/>
      <c r="F346" s="19" t="e">
        <v>#N/A</v>
      </c>
      <c r="G346" s="56"/>
      <c r="H346" s="7"/>
      <c r="I346" s="19"/>
      <c r="J346" s="26"/>
      <c r="K346" s="7"/>
      <c r="L346" s="72">
        <v>1879.2800000000025</v>
      </c>
      <c r="M346" s="26"/>
      <c r="N346" s="39" t="e">
        <f t="shared" si="48"/>
        <v>#N/A</v>
      </c>
      <c r="O346" s="26"/>
      <c r="P346" s="7"/>
      <c r="Q346" s="72">
        <v>1609.2700000000004</v>
      </c>
      <c r="R346" s="26"/>
      <c r="S346" s="39">
        <f t="shared" si="49"/>
        <v>270.01000000000204</v>
      </c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396" t="s">
        <v>406</v>
      </c>
      <c r="B347" s="7" t="s">
        <v>94</v>
      </c>
      <c r="C347" s="271" t="s">
        <v>53</v>
      </c>
      <c r="D347" s="54"/>
      <c r="E347" s="7"/>
      <c r="F347" s="19" t="e">
        <v>#N/A</v>
      </c>
      <c r="G347" s="56"/>
      <c r="H347" s="7"/>
      <c r="I347" s="19"/>
      <c r="J347" s="26"/>
      <c r="K347" s="7"/>
      <c r="L347" s="39">
        <v>278.69000000000051</v>
      </c>
      <c r="M347" s="26"/>
      <c r="N347" s="39" t="e">
        <f t="shared" si="48"/>
        <v>#N/A</v>
      </c>
      <c r="O347" s="26"/>
      <c r="P347" s="7"/>
      <c r="Q347" s="39">
        <v>150</v>
      </c>
      <c r="R347" s="26"/>
      <c r="S347" s="39">
        <f t="shared" si="49"/>
        <v>128.69000000000051</v>
      </c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396" t="s">
        <v>407</v>
      </c>
      <c r="B348" s="7" t="s">
        <v>94</v>
      </c>
      <c r="C348" s="271" t="s">
        <v>54</v>
      </c>
      <c r="D348" s="57"/>
      <c r="E348" s="73"/>
      <c r="F348" s="31" t="e">
        <v>#N/A</v>
      </c>
      <c r="G348" s="59"/>
      <c r="H348" s="73"/>
      <c r="I348" s="31"/>
      <c r="J348" s="14"/>
      <c r="K348" s="73"/>
      <c r="L348" s="39">
        <v>2035.0499999999993</v>
      </c>
      <c r="M348" s="14"/>
      <c r="N348" s="61" t="e">
        <f t="shared" si="48"/>
        <v>#N/A</v>
      </c>
      <c r="O348" s="14"/>
      <c r="P348" s="73"/>
      <c r="Q348" s="39">
        <v>2883.6399999999994</v>
      </c>
      <c r="R348" s="14"/>
      <c r="S348" s="61">
        <f t="shared" si="49"/>
        <v>-848.59000000000015</v>
      </c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396" t="s">
        <v>408</v>
      </c>
      <c r="B349" s="7" t="s">
        <v>94</v>
      </c>
      <c r="C349" s="329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48"/>
        <v>0</v>
      </c>
      <c r="O349" s="26"/>
      <c r="P349" s="7"/>
      <c r="Q349" s="72">
        <v>0</v>
      </c>
      <c r="R349" s="26"/>
      <c r="S349" s="39">
        <f t="shared" si="49"/>
        <v>0</v>
      </c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396" t="s">
        <v>409</v>
      </c>
      <c r="B350" s="7" t="s">
        <v>94</v>
      </c>
      <c r="C350" s="271" t="s">
        <v>55</v>
      </c>
      <c r="D350" s="54"/>
      <c r="E350" s="7"/>
      <c r="F350" s="19" t="e">
        <v>#N/A</v>
      </c>
      <c r="G350" s="56"/>
      <c r="H350" s="7"/>
      <c r="I350" s="19"/>
      <c r="J350" s="26"/>
      <c r="K350" s="7"/>
      <c r="L350" s="39">
        <v>6492.9900000000052</v>
      </c>
      <c r="M350" s="26"/>
      <c r="N350" s="39" t="e">
        <f t="shared" si="48"/>
        <v>#N/A</v>
      </c>
      <c r="O350" s="26"/>
      <c r="P350" s="7"/>
      <c r="Q350" s="39">
        <v>5904.1499999999978</v>
      </c>
      <c r="R350" s="26"/>
      <c r="S350" s="39">
        <f t="shared" si="49"/>
        <v>588.84000000000742</v>
      </c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396" t="s">
        <v>410</v>
      </c>
      <c r="B351" s="7" t="s">
        <v>94</v>
      </c>
      <c r="C351" s="271" t="s">
        <v>56</v>
      </c>
      <c r="D351" s="54"/>
      <c r="E351" s="7"/>
      <c r="F351" s="19" t="e">
        <v>#N/A</v>
      </c>
      <c r="G351" s="56"/>
      <c r="H351" s="7"/>
      <c r="I351" s="19"/>
      <c r="J351" s="26"/>
      <c r="K351" s="7"/>
      <c r="L351" s="39">
        <v>438.31</v>
      </c>
      <c r="M351" s="26"/>
      <c r="N351" s="39" t="e">
        <f t="shared" si="48"/>
        <v>#N/A</v>
      </c>
      <c r="O351" s="26"/>
      <c r="P351" s="7"/>
      <c r="Q351" s="39">
        <v>0</v>
      </c>
      <c r="R351" s="26"/>
      <c r="S351" s="39">
        <f t="shared" si="49"/>
        <v>438.31</v>
      </c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396" t="s">
        <v>411</v>
      </c>
      <c r="B352" s="7" t="s">
        <v>94</v>
      </c>
      <c r="C352" s="271" t="s">
        <v>57</v>
      </c>
      <c r="D352" s="54"/>
      <c r="E352" s="7"/>
      <c r="F352" s="19" t="e">
        <v>#N/A</v>
      </c>
      <c r="G352" s="56"/>
      <c r="H352" s="7"/>
      <c r="I352" s="19"/>
      <c r="J352" s="26"/>
      <c r="K352" s="7"/>
      <c r="L352" s="39">
        <v>405.70000000000027</v>
      </c>
      <c r="M352" s="26"/>
      <c r="N352" s="39" t="e">
        <f t="shared" si="48"/>
        <v>#N/A</v>
      </c>
      <c r="O352" s="26"/>
      <c r="P352" s="7"/>
      <c r="Q352" s="39">
        <v>335.48</v>
      </c>
      <c r="R352" s="26"/>
      <c r="S352" s="39">
        <f t="shared" si="49"/>
        <v>70.220000000000255</v>
      </c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396" t="s">
        <v>412</v>
      </c>
      <c r="B353" s="7" t="s">
        <v>94</v>
      </c>
      <c r="C353" s="271" t="s">
        <v>58</v>
      </c>
      <c r="D353" s="54"/>
      <c r="E353" s="7"/>
      <c r="F353" s="19" t="e">
        <v>#N/A</v>
      </c>
      <c r="G353" s="56"/>
      <c r="H353" s="7"/>
      <c r="I353" s="19"/>
      <c r="J353" s="26"/>
      <c r="K353" s="7"/>
      <c r="L353" s="39">
        <v>224.12000000000012</v>
      </c>
      <c r="M353" s="26"/>
      <c r="N353" s="39" t="e">
        <f t="shared" si="48"/>
        <v>#N/A</v>
      </c>
      <c r="O353" s="26"/>
      <c r="P353" s="7"/>
      <c r="Q353" s="39">
        <v>323.25</v>
      </c>
      <c r="R353" s="26"/>
      <c r="S353" s="39">
        <f t="shared" si="49"/>
        <v>-99.129999999999882</v>
      </c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396" t="s">
        <v>413</v>
      </c>
      <c r="B354" s="7" t="s">
        <v>94</v>
      </c>
      <c r="C354" s="271" t="s">
        <v>59</v>
      </c>
      <c r="D354" s="54"/>
      <c r="E354" s="7"/>
      <c r="F354" s="19" t="e">
        <v>#N/A</v>
      </c>
      <c r="G354" s="56"/>
      <c r="H354" s="7"/>
      <c r="I354" s="19"/>
      <c r="J354" s="26"/>
      <c r="K354" s="7"/>
      <c r="L354" s="39">
        <v>100.79999999999973</v>
      </c>
      <c r="M354" s="26"/>
      <c r="N354" s="39" t="e">
        <f t="shared" si="48"/>
        <v>#N/A</v>
      </c>
      <c r="O354" s="26"/>
      <c r="P354" s="7"/>
      <c r="Q354" s="39">
        <v>271.79999999999995</v>
      </c>
      <c r="R354" s="26"/>
      <c r="S354" s="39">
        <f t="shared" si="49"/>
        <v>-171.00000000000023</v>
      </c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396" t="s">
        <v>414</v>
      </c>
      <c r="B355" s="7" t="s">
        <v>94</v>
      </c>
      <c r="C355" s="271" t="s">
        <v>60</v>
      </c>
      <c r="D355" s="54"/>
      <c r="E355" s="7"/>
      <c r="F355" s="19" t="e">
        <v>#N/A</v>
      </c>
      <c r="G355" s="56"/>
      <c r="H355" s="7"/>
      <c r="I355" s="19"/>
      <c r="J355" s="26"/>
      <c r="K355" s="7"/>
      <c r="L355" s="39">
        <v>1575.2600000000002</v>
      </c>
      <c r="M355" s="26"/>
      <c r="N355" s="39" t="e">
        <f t="shared" si="48"/>
        <v>#N/A</v>
      </c>
      <c r="O355" s="26"/>
      <c r="P355" s="7"/>
      <c r="Q355" s="39">
        <v>1774.6799999999998</v>
      </c>
      <c r="R355" s="26"/>
      <c r="S355" s="39">
        <f t="shared" si="49"/>
        <v>-199.41999999999962</v>
      </c>
      <c r="T355" s="6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396" t="s">
        <v>415</v>
      </c>
      <c r="B356" s="7" t="s">
        <v>94</v>
      </c>
      <c r="C356" s="271" t="s">
        <v>61</v>
      </c>
      <c r="D356" s="54"/>
      <c r="E356" s="7"/>
      <c r="F356" s="19" t="e">
        <v>#N/A</v>
      </c>
      <c r="G356" s="56"/>
      <c r="H356" s="7"/>
      <c r="I356" s="19"/>
      <c r="J356" s="26"/>
      <c r="K356" s="7"/>
      <c r="L356" s="39">
        <v>0</v>
      </c>
      <c r="M356" s="26"/>
      <c r="N356" s="39" t="e">
        <f t="shared" si="48"/>
        <v>#N/A</v>
      </c>
      <c r="O356" s="26"/>
      <c r="P356" s="7"/>
      <c r="Q356" s="39">
        <v>0</v>
      </c>
      <c r="R356" s="26"/>
      <c r="S356" s="39">
        <f t="shared" si="49"/>
        <v>0</v>
      </c>
      <c r="T356" s="6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396" t="s">
        <v>416</v>
      </c>
      <c r="B357" s="7" t="s">
        <v>94</v>
      </c>
      <c r="C357" s="271" t="s">
        <v>62</v>
      </c>
      <c r="D357" s="54"/>
      <c r="E357" s="7"/>
      <c r="F357" s="19" t="e">
        <v>#N/A</v>
      </c>
      <c r="G357" s="56"/>
      <c r="H357" s="7"/>
      <c r="I357" s="19"/>
      <c r="J357" s="26"/>
      <c r="K357" s="7"/>
      <c r="L357" s="39">
        <v>469.06999999999971</v>
      </c>
      <c r="M357" s="26"/>
      <c r="N357" s="39" t="e">
        <f t="shared" si="48"/>
        <v>#N/A</v>
      </c>
      <c r="O357" s="26"/>
      <c r="P357" s="7"/>
      <c r="Q357" s="39">
        <v>95.789999999999964</v>
      </c>
      <c r="R357" s="26"/>
      <c r="S357" s="39">
        <f t="shared" si="49"/>
        <v>373.27999999999975</v>
      </c>
      <c r="T357" s="6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396" t="s">
        <v>396</v>
      </c>
      <c r="B358" s="7" t="s">
        <v>94</v>
      </c>
      <c r="C358" s="271" t="s">
        <v>417</v>
      </c>
      <c r="D358" s="54"/>
      <c r="E358" s="7"/>
      <c r="F358" s="19" t="e">
        <v>#N/A</v>
      </c>
      <c r="G358" s="56"/>
      <c r="H358" s="7"/>
      <c r="I358" s="19"/>
      <c r="J358" s="26"/>
      <c r="K358" s="7"/>
      <c r="L358" s="39">
        <v>3356.1899999999987</v>
      </c>
      <c r="M358" s="26"/>
      <c r="N358" s="39" t="e">
        <f t="shared" si="48"/>
        <v>#N/A</v>
      </c>
      <c r="O358" s="26"/>
      <c r="P358" s="7"/>
      <c r="Q358" s="39">
        <v>0</v>
      </c>
      <c r="R358" s="26"/>
      <c r="S358" s="39">
        <f t="shared" si="49"/>
        <v>3356.1899999999987</v>
      </c>
      <c r="T358" s="6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 thickTop="1">
      <c r="A359" s="396" t="s">
        <v>396</v>
      </c>
      <c r="B359" s="7" t="s">
        <v>94</v>
      </c>
      <c r="C359" s="271" t="s">
        <v>19</v>
      </c>
      <c r="D359" s="54"/>
      <c r="E359" s="7"/>
      <c r="F359" s="19" t="e">
        <v>#N/A</v>
      </c>
      <c r="G359" s="56"/>
      <c r="H359" s="7"/>
      <c r="I359" s="19"/>
      <c r="J359" s="26"/>
      <c r="K359" s="7"/>
      <c r="L359" s="39">
        <v>0</v>
      </c>
      <c r="M359" s="26"/>
      <c r="N359" s="39" t="e">
        <f t="shared" si="48"/>
        <v>#N/A</v>
      </c>
      <c r="O359" s="26"/>
      <c r="P359" s="7"/>
      <c r="Q359" s="39">
        <v>0</v>
      </c>
      <c r="R359" s="26"/>
      <c r="S359" s="39">
        <f t="shared" si="49"/>
        <v>0</v>
      </c>
      <c r="T359" s="6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 thickBot="1">
      <c r="A360" s="396" t="s">
        <v>396</v>
      </c>
      <c r="B360" s="7" t="s">
        <v>94</v>
      </c>
      <c r="C360" s="271" t="s">
        <v>19</v>
      </c>
      <c r="D360" s="54"/>
      <c r="E360" s="7"/>
      <c r="F360" s="19" t="e">
        <v>#N/A</v>
      </c>
      <c r="G360" s="56"/>
      <c r="H360" s="7"/>
      <c r="I360" s="19"/>
      <c r="J360" s="26"/>
      <c r="K360" s="7"/>
      <c r="L360" s="39">
        <v>0</v>
      </c>
      <c r="M360" s="26"/>
      <c r="N360" s="39" t="e">
        <f t="shared" si="48"/>
        <v>#N/A</v>
      </c>
      <c r="O360" s="26"/>
      <c r="P360" s="7"/>
      <c r="Q360" s="39">
        <v>0</v>
      </c>
      <c r="R360" s="26"/>
      <c r="S360" s="39">
        <f t="shared" si="49"/>
        <v>0</v>
      </c>
      <c r="T360" s="6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396"/>
      <c r="B361" s="7"/>
      <c r="C361" s="139" t="s">
        <v>63</v>
      </c>
      <c r="D361" s="62" t="s">
        <v>38</v>
      </c>
      <c r="E361" s="63" t="e">
        <f>F361/F$318</f>
        <v>#N/A</v>
      </c>
      <c r="F361" s="64" t="e">
        <f>+SUM(F343:F360)</f>
        <v>#N/A</v>
      </c>
      <c r="G361" s="65"/>
      <c r="H361" s="63"/>
      <c r="I361" s="64"/>
      <c r="J361" s="65" t="s">
        <v>38</v>
      </c>
      <c r="K361" s="63">
        <f>L361/L$326</f>
        <v>0.39938660491689282</v>
      </c>
      <c r="L361" s="64">
        <f>+SUM(L343:L360)</f>
        <v>25115.850000000009</v>
      </c>
      <c r="M361" s="66"/>
      <c r="N361" s="64" t="e">
        <f>+SUM(N343:N360)</f>
        <v>#N/A</v>
      </c>
      <c r="O361" s="65" t="s">
        <v>38</v>
      </c>
      <c r="P361" s="63">
        <f>Q361/Q$326</f>
        <v>0.123060197443406</v>
      </c>
      <c r="Q361" s="64">
        <f>+SUM(Q343:Q360)</f>
        <v>10948.079999999998</v>
      </c>
      <c r="R361" s="67"/>
      <c r="S361" s="64">
        <f t="shared" si="49"/>
        <v>14167.770000000011</v>
      </c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381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396"/>
      <c r="B363" s="7"/>
      <c r="C363" s="139" t="s">
        <v>64</v>
      </c>
      <c r="D363" s="62" t="s">
        <v>38</v>
      </c>
      <c r="E363" s="63" t="e">
        <f>F363/F$318</f>
        <v>#N/A</v>
      </c>
      <c r="F363" s="64" t="e">
        <f>F342+F361</f>
        <v>#N/A</v>
      </c>
      <c r="G363" s="65"/>
      <c r="H363" s="63"/>
      <c r="I363" s="64"/>
      <c r="J363" s="65" t="s">
        <v>38</v>
      </c>
      <c r="K363" s="63">
        <f>L363/L$326</f>
        <v>0.9297338710677695</v>
      </c>
      <c r="L363" s="64">
        <f>L342+L361</f>
        <v>58467.3</v>
      </c>
      <c r="M363" s="66"/>
      <c r="N363" s="64" t="e">
        <f>L363-F363</f>
        <v>#N/A</v>
      </c>
      <c r="O363" s="65" t="s">
        <v>38</v>
      </c>
      <c r="P363" s="63">
        <f>Q363/Q$326</f>
        <v>0.4311540102628848</v>
      </c>
      <c r="Q363" s="64">
        <f>Q342+Q361</f>
        <v>38357.72</v>
      </c>
      <c r="R363" s="67"/>
      <c r="S363" s="64">
        <f>L363-Q363</f>
        <v>20109.580000000002</v>
      </c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396"/>
      <c r="B365" s="7"/>
      <c r="C365" s="276" t="s">
        <v>69</v>
      </c>
      <c r="D365" s="277"/>
      <c r="E365" s="278"/>
      <c r="F365" s="138" t="e">
        <f>F326-F363</f>
        <v>#N/A</v>
      </c>
      <c r="G365" s="279"/>
      <c r="H365" s="278"/>
      <c r="I365" s="138"/>
      <c r="J365" s="279"/>
      <c r="K365" s="278"/>
      <c r="L365" s="138">
        <f>L326-L363</f>
        <v>4418.7599999999802</v>
      </c>
      <c r="M365" s="280"/>
      <c r="N365" s="138" t="e">
        <f>L365-F365</f>
        <v>#N/A</v>
      </c>
      <c r="O365" s="279"/>
      <c r="P365" s="278"/>
      <c r="Q365" s="138">
        <f>Q326-Q363</f>
        <v>50607.519999999975</v>
      </c>
      <c r="R365" s="281"/>
      <c r="S365" s="138">
        <f>L365-Q365</f>
        <v>-46188.759999999995</v>
      </c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Réalisé, Aout 2026</v>
      </c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426" t="s">
        <v>5</v>
      </c>
      <c r="E369" s="427"/>
      <c r="F369" s="425"/>
      <c r="G369" s="424"/>
      <c r="H369" s="427"/>
      <c r="I369" s="425"/>
      <c r="J369" s="424" t="s">
        <v>7</v>
      </c>
      <c r="K369" s="427"/>
      <c r="L369" s="425"/>
      <c r="M369" s="424" t="s">
        <v>210</v>
      </c>
      <c r="N369" s="425"/>
      <c r="O369" s="426" t="s">
        <v>8</v>
      </c>
      <c r="P369" s="427"/>
      <c r="Q369" s="425"/>
      <c r="R369" s="424" t="s">
        <v>211</v>
      </c>
      <c r="S369" s="425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396" t="s">
        <v>98</v>
      </c>
      <c r="B370" s="7" t="s">
        <v>98</v>
      </c>
      <c r="C370" s="330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214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396" t="s">
        <v>418</v>
      </c>
      <c r="B371" s="7" t="s">
        <v>98</v>
      </c>
      <c r="C371" s="331" t="s">
        <v>100</v>
      </c>
      <c r="D371" s="55" t="e">
        <v>#N/A</v>
      </c>
      <c r="E371" s="93" t="e">
        <f>IF(D371=0,0,F371/D371)</f>
        <v>#N/A</v>
      </c>
      <c r="F371" s="39" t="e">
        <v>#N/A</v>
      </c>
      <c r="G371" s="55"/>
      <c r="H371" s="93"/>
      <c r="I371" s="39"/>
      <c r="J371" s="55">
        <v>49607.790000000037</v>
      </c>
      <c r="K371" s="93">
        <f t="shared" ref="K371:K380" si="50">IF(J371&lt;=0,0,L371/J371)</f>
        <v>0.31416275548658851</v>
      </c>
      <c r="L371" s="39">
        <v>15584.920000000042</v>
      </c>
      <c r="M371" s="99" t="e">
        <f t="shared" ref="M371:M377" si="51">(+J371-D371)/D371</f>
        <v>#N/A</v>
      </c>
      <c r="N371" s="39" t="e">
        <f t="shared" ref="N371:N380" si="52">L371-F371</f>
        <v>#N/A</v>
      </c>
      <c r="O371" s="55">
        <v>48700.339999999967</v>
      </c>
      <c r="P371" s="93">
        <f t="shared" ref="P371:P380" si="53">IF(O371&lt;=0,0,Q371/O371)</f>
        <v>0.41544371148127418</v>
      </c>
      <c r="Q371" s="39">
        <v>20232.249999999942</v>
      </c>
      <c r="R371" s="99">
        <f t="shared" ref="R371:R380" si="54">IF(O371=0,0,(J371-O371)/O371)</f>
        <v>1.8633340136846487E-2</v>
      </c>
      <c r="S371" s="39">
        <f t="shared" ref="S371:S380" si="55">L371-Q371</f>
        <v>-4647.3299999998999</v>
      </c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396" t="s">
        <v>419</v>
      </c>
      <c r="B372" s="7" t="s">
        <v>98</v>
      </c>
      <c r="C372" s="331" t="s">
        <v>101</v>
      </c>
      <c r="D372" s="55" t="e">
        <v>#N/A</v>
      </c>
      <c r="E372" s="93" t="e">
        <f t="shared" ref="E372:E379" si="56">IF(D372=0,0,F372/D372)</f>
        <v>#N/A</v>
      </c>
      <c r="F372" s="39" t="e">
        <v>#N/A</v>
      </c>
      <c r="G372" s="55"/>
      <c r="H372" s="93"/>
      <c r="I372" s="39"/>
      <c r="J372" s="55">
        <v>0</v>
      </c>
      <c r="K372" s="93">
        <f t="shared" si="50"/>
        <v>0</v>
      </c>
      <c r="L372" s="39">
        <v>0</v>
      </c>
      <c r="M372" s="99" t="e">
        <f t="shared" si="51"/>
        <v>#N/A</v>
      </c>
      <c r="N372" s="39" t="e">
        <f t="shared" si="52"/>
        <v>#N/A</v>
      </c>
      <c r="O372" s="55">
        <v>0</v>
      </c>
      <c r="P372" s="93">
        <f t="shared" si="53"/>
        <v>0</v>
      </c>
      <c r="Q372" s="39">
        <v>0</v>
      </c>
      <c r="R372" s="99">
        <f t="shared" si="54"/>
        <v>0</v>
      </c>
      <c r="S372" s="39">
        <f t="shared" si="55"/>
        <v>0</v>
      </c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396" t="s">
        <v>420</v>
      </c>
      <c r="B373" s="7" t="s">
        <v>98</v>
      </c>
      <c r="C373" s="331" t="s">
        <v>102</v>
      </c>
      <c r="D373" s="55" t="e">
        <v>#N/A</v>
      </c>
      <c r="E373" s="93" t="e">
        <f t="shared" si="56"/>
        <v>#N/A</v>
      </c>
      <c r="F373" s="39" t="e">
        <v>#N/A</v>
      </c>
      <c r="G373" s="55"/>
      <c r="H373" s="93"/>
      <c r="I373" s="39"/>
      <c r="J373" s="55">
        <v>86905.390000000014</v>
      </c>
      <c r="K373" s="93">
        <f t="shared" si="50"/>
        <v>0.28624818322545936</v>
      </c>
      <c r="L373" s="39">
        <v>24876.510000000009</v>
      </c>
      <c r="M373" s="99" t="e">
        <f t="shared" si="51"/>
        <v>#N/A</v>
      </c>
      <c r="N373" s="39" t="e">
        <f t="shared" si="52"/>
        <v>#N/A</v>
      </c>
      <c r="O373" s="55">
        <v>62505.880000000005</v>
      </c>
      <c r="P373" s="93">
        <f t="shared" si="53"/>
        <v>0.28472249330782889</v>
      </c>
      <c r="Q373" s="39">
        <v>17796.829999999958</v>
      </c>
      <c r="R373" s="99">
        <f t="shared" si="54"/>
        <v>0.39035543536064138</v>
      </c>
      <c r="S373" s="39">
        <f t="shared" si="55"/>
        <v>7079.6800000000512</v>
      </c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396" t="s">
        <v>421</v>
      </c>
      <c r="B374" s="7" t="s">
        <v>98</v>
      </c>
      <c r="C374" s="331" t="s">
        <v>103</v>
      </c>
      <c r="D374" s="55" t="e">
        <v>#N/A</v>
      </c>
      <c r="E374" s="93" t="e">
        <f t="shared" si="56"/>
        <v>#N/A</v>
      </c>
      <c r="F374" s="39" t="e">
        <v>#N/A</v>
      </c>
      <c r="G374" s="55"/>
      <c r="H374" s="93"/>
      <c r="I374" s="39"/>
      <c r="J374" s="55">
        <v>36953.440000000002</v>
      </c>
      <c r="K374" s="93">
        <f t="shared" si="50"/>
        <v>0.27563469057278628</v>
      </c>
      <c r="L374" s="39">
        <v>10185.650000000023</v>
      </c>
      <c r="M374" s="99" t="e">
        <f t="shared" si="51"/>
        <v>#N/A</v>
      </c>
      <c r="N374" s="39" t="e">
        <f t="shared" si="52"/>
        <v>#N/A</v>
      </c>
      <c r="O374" s="55">
        <v>40829.760000000009</v>
      </c>
      <c r="P374" s="93">
        <f t="shared" si="53"/>
        <v>0.35273070427060976</v>
      </c>
      <c r="Q374" s="39">
        <v>14401.909999999974</v>
      </c>
      <c r="R374" s="99">
        <f t="shared" si="54"/>
        <v>-9.4938593810005398E-2</v>
      </c>
      <c r="S374" s="39">
        <f t="shared" si="55"/>
        <v>-4216.2599999999511</v>
      </c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396" t="s">
        <v>422</v>
      </c>
      <c r="B375" s="7" t="s">
        <v>98</v>
      </c>
      <c r="C375" s="331" t="s">
        <v>104</v>
      </c>
      <c r="D375" s="55" t="e">
        <v>#N/A</v>
      </c>
      <c r="E375" s="93" t="e">
        <f t="shared" si="56"/>
        <v>#N/A</v>
      </c>
      <c r="F375" s="39" t="e">
        <v>#N/A</v>
      </c>
      <c r="G375" s="55"/>
      <c r="H375" s="93"/>
      <c r="I375" s="39"/>
      <c r="J375" s="55">
        <v>31441.490000000049</v>
      </c>
      <c r="K375" s="93">
        <f t="shared" si="50"/>
        <v>0.19543571249327105</v>
      </c>
      <c r="L375" s="39">
        <v>6144.7900000000664</v>
      </c>
      <c r="M375" s="99" t="e">
        <f t="shared" si="51"/>
        <v>#N/A</v>
      </c>
      <c r="N375" s="39" t="e">
        <f t="shared" si="52"/>
        <v>#N/A</v>
      </c>
      <c r="O375" s="55">
        <v>37160.139999999985</v>
      </c>
      <c r="P375" s="93">
        <f t="shared" si="53"/>
        <v>0.21003123239040494</v>
      </c>
      <c r="Q375" s="39">
        <v>7804.789999999979</v>
      </c>
      <c r="R375" s="99">
        <f t="shared" si="54"/>
        <v>-0.15389204669304093</v>
      </c>
      <c r="S375" s="39">
        <f t="shared" si="55"/>
        <v>-1659.9999999999127</v>
      </c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396" t="s">
        <v>423</v>
      </c>
      <c r="B376" s="7" t="s">
        <v>98</v>
      </c>
      <c r="C376" s="331" t="s">
        <v>105</v>
      </c>
      <c r="D376" s="55" t="e">
        <v>#N/A</v>
      </c>
      <c r="E376" s="93" t="e">
        <f t="shared" si="56"/>
        <v>#N/A</v>
      </c>
      <c r="F376" s="39" t="e">
        <v>#N/A</v>
      </c>
      <c r="G376" s="55"/>
      <c r="H376" s="93"/>
      <c r="I376" s="39"/>
      <c r="J376" s="55">
        <v>116127.41000000003</v>
      </c>
      <c r="K376" s="93">
        <f t="shared" si="50"/>
        <v>0.19691018683702699</v>
      </c>
      <c r="L376" s="39">
        <v>22866.670000000042</v>
      </c>
      <c r="M376" s="99" t="e">
        <f t="shared" si="51"/>
        <v>#N/A</v>
      </c>
      <c r="N376" s="39" t="e">
        <f t="shared" si="52"/>
        <v>#N/A</v>
      </c>
      <c r="O376" s="55">
        <v>149731.51000000013</v>
      </c>
      <c r="P376" s="93">
        <f t="shared" si="53"/>
        <v>0.20671260177634024</v>
      </c>
      <c r="Q376" s="39">
        <v>30951.39000000013</v>
      </c>
      <c r="R376" s="99">
        <f t="shared" si="54"/>
        <v>-0.22442904636438959</v>
      </c>
      <c r="S376" s="39">
        <f t="shared" si="55"/>
        <v>-8084.7200000000885</v>
      </c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396" t="s">
        <v>424</v>
      </c>
      <c r="B377" s="7" t="s">
        <v>98</v>
      </c>
      <c r="C377" s="331" t="s">
        <v>19</v>
      </c>
      <c r="D377" s="55" t="e">
        <v>#N/A</v>
      </c>
      <c r="E377" s="93" t="e">
        <f>IF(D377=0,0,F377/D377)</f>
        <v>#N/A</v>
      </c>
      <c r="F377" s="39" t="e">
        <v>#N/A</v>
      </c>
      <c r="G377" s="55"/>
      <c r="H377" s="93"/>
      <c r="I377" s="39"/>
      <c r="J377" s="55">
        <v>0</v>
      </c>
      <c r="K377" s="93">
        <f t="shared" si="50"/>
        <v>0</v>
      </c>
      <c r="L377" s="39">
        <v>0</v>
      </c>
      <c r="M377" s="99" t="e">
        <f t="shared" si="51"/>
        <v>#N/A</v>
      </c>
      <c r="N377" s="39" t="e">
        <f t="shared" si="52"/>
        <v>#N/A</v>
      </c>
      <c r="O377" s="55">
        <v>0</v>
      </c>
      <c r="P377" s="93">
        <f t="shared" si="53"/>
        <v>0</v>
      </c>
      <c r="Q377" s="39">
        <v>0</v>
      </c>
      <c r="R377" s="99">
        <f t="shared" si="54"/>
        <v>0</v>
      </c>
      <c r="S377" s="39">
        <f t="shared" si="55"/>
        <v>0</v>
      </c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396" t="s">
        <v>425</v>
      </c>
      <c r="B378" s="7" t="s">
        <v>98</v>
      </c>
      <c r="C378" s="331" t="s">
        <v>106</v>
      </c>
      <c r="D378" s="55" t="e">
        <v>#N/A</v>
      </c>
      <c r="E378" s="93" t="e">
        <f t="shared" si="56"/>
        <v>#N/A</v>
      </c>
      <c r="F378" s="39" t="e">
        <v>#N/A</v>
      </c>
      <c r="G378" s="55"/>
      <c r="H378" s="93"/>
      <c r="I378" s="39"/>
      <c r="J378" s="55">
        <v>0</v>
      </c>
      <c r="K378" s="93">
        <f t="shared" si="50"/>
        <v>0</v>
      </c>
      <c r="L378" s="39">
        <v>5375.6900000000023</v>
      </c>
      <c r="M378" s="99"/>
      <c r="N378" s="39" t="e">
        <f t="shared" si="52"/>
        <v>#N/A</v>
      </c>
      <c r="O378" s="55">
        <v>0</v>
      </c>
      <c r="P378" s="93">
        <f t="shared" si="53"/>
        <v>0</v>
      </c>
      <c r="Q378" s="39">
        <v>335.27999999999884</v>
      </c>
      <c r="R378" s="99">
        <f t="shared" si="54"/>
        <v>0</v>
      </c>
      <c r="S378" s="39">
        <f t="shared" si="55"/>
        <v>5040.4100000000035</v>
      </c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396" t="s">
        <v>426</v>
      </c>
      <c r="B379" s="7" t="s">
        <v>98</v>
      </c>
      <c r="C379" s="332" t="s">
        <v>107</v>
      </c>
      <c r="D379" s="55" t="e">
        <v>#N/A</v>
      </c>
      <c r="E379" s="93" t="e">
        <f t="shared" si="56"/>
        <v>#N/A</v>
      </c>
      <c r="F379" s="39" t="e">
        <v>#N/A</v>
      </c>
      <c r="G379" s="55"/>
      <c r="H379" s="93"/>
      <c r="I379" s="39"/>
      <c r="J379" s="55">
        <v>0</v>
      </c>
      <c r="K379" s="93">
        <f t="shared" si="50"/>
        <v>0</v>
      </c>
      <c r="L379" s="39">
        <v>1480.4799999999996</v>
      </c>
      <c r="M379" s="99"/>
      <c r="N379" s="39" t="e">
        <f t="shared" si="52"/>
        <v>#N/A</v>
      </c>
      <c r="O379" s="55">
        <v>0</v>
      </c>
      <c r="P379" s="93">
        <f t="shared" si="53"/>
        <v>0</v>
      </c>
      <c r="Q379" s="39">
        <v>10.430000000000291</v>
      </c>
      <c r="R379" s="99">
        <f t="shared" si="54"/>
        <v>0</v>
      </c>
      <c r="S379" s="39">
        <f t="shared" si="55"/>
        <v>1470.0499999999993</v>
      </c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396" t="s">
        <v>427</v>
      </c>
      <c r="B380" s="7" t="s">
        <v>98</v>
      </c>
      <c r="C380" s="333" t="s">
        <v>108</v>
      </c>
      <c r="D380" s="122" t="e">
        <f>SUM(D371:D379)</f>
        <v>#N/A</v>
      </c>
      <c r="E380" s="133" t="e">
        <f>IF(D380&lt;=0,0,F380/D380)</f>
        <v>#N/A</v>
      </c>
      <c r="F380" s="123" t="e">
        <f>SUM(F371:F379)</f>
        <v>#N/A</v>
      </c>
      <c r="G380" s="122"/>
      <c r="H380" s="133"/>
      <c r="I380" s="123"/>
      <c r="J380" s="122">
        <f t="shared" ref="J380" si="57">SUM(J371:J379)</f>
        <v>321035.52000000014</v>
      </c>
      <c r="K380" s="133">
        <f t="shared" si="50"/>
        <v>0.26948641072489471</v>
      </c>
      <c r="L380" s="123">
        <f>SUM(L371:L379)</f>
        <v>86514.710000000181</v>
      </c>
      <c r="M380" s="134" t="e">
        <f>(+J380-D380)/D380</f>
        <v>#N/A</v>
      </c>
      <c r="N380" s="123" t="e">
        <f t="shared" si="52"/>
        <v>#N/A</v>
      </c>
      <c r="O380" s="122">
        <f t="shared" ref="O380" si="58">SUM(O371:O379)</f>
        <v>338927.63000000012</v>
      </c>
      <c r="P380" s="133">
        <f t="shared" si="53"/>
        <v>0.27006614951988406</v>
      </c>
      <c r="Q380" s="123">
        <f>SUM(Q371:Q379)</f>
        <v>91532.879999999976</v>
      </c>
      <c r="R380" s="134">
        <f t="shared" si="54"/>
        <v>-5.2790355274369281E-2</v>
      </c>
      <c r="S380" s="123">
        <f t="shared" si="55"/>
        <v>-5018.1699999997945</v>
      </c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396" t="s">
        <v>98</v>
      </c>
      <c r="B381" s="7" t="s">
        <v>98</v>
      </c>
      <c r="C381" s="331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#N/A</v>
      </c>
      <c r="O381" s="40"/>
      <c r="P381" s="7"/>
      <c r="Q381" s="39"/>
      <c r="R381" s="26"/>
      <c r="S381" s="28">
        <f>IF(Q380=0,0,S380/Q380)</f>
        <v>-5.482368740063457E-2</v>
      </c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396" t="s">
        <v>98</v>
      </c>
      <c r="B382" s="7" t="s">
        <v>98</v>
      </c>
      <c r="C382" s="332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396" t="s">
        <v>428</v>
      </c>
      <c r="B383" s="7" t="s">
        <v>98</v>
      </c>
      <c r="C383" s="331" t="s">
        <v>109</v>
      </c>
      <c r="D383" s="55" t="e">
        <v>#N/A</v>
      </c>
      <c r="E383" s="93" t="e">
        <f>IF(D383=0,0,F383/D383)</f>
        <v>#N/A</v>
      </c>
      <c r="F383" s="72" t="e">
        <v>#N/A</v>
      </c>
      <c r="G383" s="55"/>
      <c r="H383" s="93"/>
      <c r="I383" s="72"/>
      <c r="J383" s="55">
        <v>18670.01999999999</v>
      </c>
      <c r="K383" s="93">
        <f t="shared" ref="K383:K385" si="59">IF(J383&lt;=0,0,L383/J383)</f>
        <v>0.12284775270728196</v>
      </c>
      <c r="L383" s="72">
        <v>2293.570000000007</v>
      </c>
      <c r="M383" s="99" t="e">
        <f>(+J383-D383)/D383</f>
        <v>#N/A</v>
      </c>
      <c r="N383" s="39" t="e">
        <f>L383-F383</f>
        <v>#N/A</v>
      </c>
      <c r="O383" s="55">
        <v>17332.420000000013</v>
      </c>
      <c r="P383" s="93">
        <f t="shared" ref="P383:P385" si="60">IF(O383&lt;=0,0,Q383/O383)</f>
        <v>0.11065044581195253</v>
      </c>
      <c r="Q383" s="72">
        <v>1917.8400000000038</v>
      </c>
      <c r="R383" s="99">
        <f t="shared" ref="R383:R385" si="61">IF(O383=0,0,(J383-O383)/O383)</f>
        <v>7.7173297208351505E-2</v>
      </c>
      <c r="S383" s="39">
        <f t="shared" ref="S383:S385" si="62">L383-Q383</f>
        <v>375.7300000000032</v>
      </c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396" t="s">
        <v>429</v>
      </c>
      <c r="B384" s="7" t="s">
        <v>98</v>
      </c>
      <c r="C384" s="332" t="s">
        <v>110</v>
      </c>
      <c r="D384" s="55" t="e">
        <v>#N/A</v>
      </c>
      <c r="E384" s="93" t="e">
        <f>IF(D384=0,0,F384/D384)</f>
        <v>#N/A</v>
      </c>
      <c r="F384" s="61" t="e">
        <v>#N/A</v>
      </c>
      <c r="G384" s="55"/>
      <c r="H384" s="93"/>
      <c r="I384" s="61"/>
      <c r="J384" s="55">
        <v>13578.690000000002</v>
      </c>
      <c r="K384" s="93">
        <f t="shared" si="59"/>
        <v>0.25880626187062222</v>
      </c>
      <c r="L384" s="61">
        <v>3514.25</v>
      </c>
      <c r="M384" s="99" t="e">
        <f>(+J384-D384)/D384</f>
        <v>#N/A</v>
      </c>
      <c r="N384" s="39" t="e">
        <f>L384-F384</f>
        <v>#N/A</v>
      </c>
      <c r="O384" s="55">
        <v>14229.580000000002</v>
      </c>
      <c r="P384" s="93">
        <f t="shared" si="60"/>
        <v>0.29446828367386829</v>
      </c>
      <c r="Q384" s="61">
        <v>4190.1600000000035</v>
      </c>
      <c r="R384" s="99">
        <f t="shared" si="61"/>
        <v>-4.5742038767131524E-2</v>
      </c>
      <c r="S384" s="39">
        <f t="shared" si="62"/>
        <v>-675.91000000000349</v>
      </c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396" t="s">
        <v>430</v>
      </c>
      <c r="B385" s="7" t="s">
        <v>98</v>
      </c>
      <c r="C385" s="52" t="s">
        <v>111</v>
      </c>
      <c r="D385" s="122" t="e">
        <f>D380+D383+D384</f>
        <v>#N/A</v>
      </c>
      <c r="E385" s="133" t="e">
        <f>IF(D385&lt;=0,0,F385/D385)</f>
        <v>#N/A</v>
      </c>
      <c r="F385" s="123" t="e">
        <f>F380+F383+F384</f>
        <v>#N/A</v>
      </c>
      <c r="G385" s="124"/>
      <c r="H385" s="133"/>
      <c r="I385" s="123"/>
      <c r="J385" s="124">
        <f t="shared" ref="J385" si="63">J380+J383+J384</f>
        <v>353284.23000000016</v>
      </c>
      <c r="K385" s="133">
        <f t="shared" si="59"/>
        <v>0.26132649623222681</v>
      </c>
      <c r="L385" s="123">
        <f>L380+L383+L384</f>
        <v>92322.530000000188</v>
      </c>
      <c r="M385" s="134" t="e">
        <f>(+J385-D385)/D385</f>
        <v>#N/A</v>
      </c>
      <c r="N385" s="123" t="e">
        <f>L385-F385</f>
        <v>#N/A</v>
      </c>
      <c r="O385" s="124">
        <f t="shared" ref="O385" si="64">O380+O383+O384</f>
        <v>370489.63000000018</v>
      </c>
      <c r="P385" s="133">
        <f t="shared" si="60"/>
        <v>0.26354551408092025</v>
      </c>
      <c r="Q385" s="123">
        <f>Q380+Q383+Q384</f>
        <v>97640.879999999976</v>
      </c>
      <c r="R385" s="134">
        <f t="shared" si="61"/>
        <v>-4.6439626393861594E-2</v>
      </c>
      <c r="S385" s="123">
        <f t="shared" si="62"/>
        <v>-5318.3499999997875</v>
      </c>
      <c r="T385" s="6"/>
      <c r="U385" s="9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396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#N/A</v>
      </c>
      <c r="O386" s="40"/>
      <c r="P386" s="7"/>
      <c r="Q386" s="39"/>
      <c r="R386" s="26"/>
      <c r="S386" s="112">
        <f>IF(Q385=0,0,S385/Q385)</f>
        <v>-5.4468476728187915E-2</v>
      </c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396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396" t="s">
        <v>431</v>
      </c>
      <c r="B388" s="7" t="s">
        <v>98</v>
      </c>
      <c r="C388" s="14" t="s">
        <v>112</v>
      </c>
      <c r="D388" s="58" t="e">
        <v>#N/A</v>
      </c>
      <c r="E388" s="136" t="e">
        <f>IF(D388=0,0,F388/D388)</f>
        <v>#N/A</v>
      </c>
      <c r="F388" s="61" t="e">
        <v>#N/A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 t="e">
        <f>IF(F388=0,0,(+L388-F388)/F388)</f>
        <v>#N/A</v>
      </c>
      <c r="N388" s="61" t="e">
        <f>L388-F388</f>
        <v>#N/A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6"/>
      <c r="U388" s="9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396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396" t="s">
        <v>432</v>
      </c>
      <c r="B390" s="7" t="s">
        <v>98</v>
      </c>
      <c r="C390" s="264" t="s">
        <v>113</v>
      </c>
      <c r="D390" s="41" t="e">
        <f>D385+D388</f>
        <v>#N/A</v>
      </c>
      <c r="E390" s="42" t="e">
        <f>IF(D390&lt;=0,0,F390/D390)</f>
        <v>#N/A</v>
      </c>
      <c r="F390" s="43" t="e">
        <f>F385+F388</f>
        <v>#N/A</v>
      </c>
      <c r="G390" s="44"/>
      <c r="H390" s="42"/>
      <c r="I390" s="43"/>
      <c r="J390" s="44">
        <f>J385+J388</f>
        <v>353284.23000000016</v>
      </c>
      <c r="K390" s="137">
        <f>IF(J390&lt;=0,0,L390/J390)</f>
        <v>0.26132649623222681</v>
      </c>
      <c r="L390" s="43">
        <f>L385+L388</f>
        <v>92322.530000000188</v>
      </c>
      <c r="M390" s="44" t="e">
        <f>(+J390-D390)/D390</f>
        <v>#N/A</v>
      </c>
      <c r="N390" s="43" t="e">
        <f>L390-F390</f>
        <v>#N/A</v>
      </c>
      <c r="O390" s="44">
        <f t="shared" ref="O390" si="65">O385+O388</f>
        <v>370489.63000000018</v>
      </c>
      <c r="P390" s="137">
        <f>IF(O390&lt;=0,0,Q390/O390)</f>
        <v>0.26354551408092025</v>
      </c>
      <c r="Q390" s="43">
        <f>Q385+Q388</f>
        <v>97640.879999999976</v>
      </c>
      <c r="R390" s="129">
        <f>IF(O390=0,0,(J390-O390)/O390)</f>
        <v>-4.6439626393861594E-2</v>
      </c>
      <c r="S390" s="43">
        <f>L390-Q390</f>
        <v>-5318.3499999997875</v>
      </c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396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#N/A</v>
      </c>
      <c r="O391" s="47"/>
      <c r="P391" s="265"/>
      <c r="Q391" s="267"/>
      <c r="R391" s="48"/>
      <c r="S391" s="267">
        <f>IF(Q390=0,0,S390/Q390)</f>
        <v>-5.4468476728187915E-2</v>
      </c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396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396" t="s">
        <v>433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396" t="s">
        <v>434</v>
      </c>
      <c r="B394" s="7" t="s">
        <v>98</v>
      </c>
      <c r="C394" s="271" t="s">
        <v>40</v>
      </c>
      <c r="D394" s="7"/>
      <c r="E394" s="7"/>
      <c r="F394" s="19" t="e">
        <v>#N/A</v>
      </c>
      <c r="G394" s="26"/>
      <c r="H394" s="7"/>
      <c r="I394" s="19"/>
      <c r="J394" s="26"/>
      <c r="K394" s="7"/>
      <c r="L394" s="39">
        <v>7934.34</v>
      </c>
      <c r="M394" s="26"/>
      <c r="N394" s="21" t="e">
        <f t="shared" ref="N394:N424" si="66">L394-F394</f>
        <v>#N/A</v>
      </c>
      <c r="O394" s="26"/>
      <c r="P394" s="7"/>
      <c r="Q394" s="39">
        <v>4483.4199999999983</v>
      </c>
      <c r="R394" s="26"/>
      <c r="S394" s="39">
        <f t="shared" ref="S394:S424" si="67">L394-Q394</f>
        <v>3450.9200000000019</v>
      </c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396" t="s">
        <v>435</v>
      </c>
      <c r="B395" s="7" t="s">
        <v>98</v>
      </c>
      <c r="C395" s="272" t="s">
        <v>41</v>
      </c>
      <c r="D395" s="54"/>
      <c r="E395" s="7"/>
      <c r="F395" s="31" t="e">
        <v>#N/A</v>
      </c>
      <c r="G395" s="56"/>
      <c r="H395" s="7"/>
      <c r="I395" s="31"/>
      <c r="J395" s="26"/>
      <c r="K395" s="7"/>
      <c r="L395" s="39">
        <v>2116.0299999999988</v>
      </c>
      <c r="M395" s="26"/>
      <c r="N395" s="21" t="e">
        <f t="shared" si="66"/>
        <v>#N/A</v>
      </c>
      <c r="O395" s="26"/>
      <c r="P395" s="7"/>
      <c r="Q395" s="39">
        <v>2434.4900000000016</v>
      </c>
      <c r="R395" s="26"/>
      <c r="S395" s="39">
        <f t="shared" si="67"/>
        <v>-318.46000000000276</v>
      </c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396" t="s">
        <v>436</v>
      </c>
      <c r="B396" s="7" t="s">
        <v>98</v>
      </c>
      <c r="C396" s="271" t="s">
        <v>42</v>
      </c>
      <c r="D396" s="68"/>
      <c r="E396" s="69"/>
      <c r="F396" s="19" t="e">
        <v>#N/A</v>
      </c>
      <c r="G396" s="70"/>
      <c r="H396" s="69"/>
      <c r="I396" s="19"/>
      <c r="J396" s="71"/>
      <c r="K396" s="69"/>
      <c r="L396" s="72">
        <v>14321.329999999987</v>
      </c>
      <c r="M396" s="71"/>
      <c r="N396" s="36" t="e">
        <f t="shared" si="66"/>
        <v>#N/A</v>
      </c>
      <c r="O396" s="71"/>
      <c r="P396" s="69"/>
      <c r="Q396" s="72">
        <v>17580.00999999998</v>
      </c>
      <c r="R396" s="71"/>
      <c r="S396" s="72">
        <f t="shared" si="67"/>
        <v>-3258.679999999993</v>
      </c>
      <c r="T396" s="6"/>
      <c r="U396" s="385"/>
      <c r="V396" s="334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396" t="s">
        <v>437</v>
      </c>
      <c r="B397" s="7" t="s">
        <v>98</v>
      </c>
      <c r="C397" s="271" t="s">
        <v>43</v>
      </c>
      <c r="D397" s="54"/>
      <c r="E397" s="7"/>
      <c r="F397" s="19" t="e">
        <v>#N/A</v>
      </c>
      <c r="G397" s="56"/>
      <c r="H397" s="7"/>
      <c r="I397" s="19"/>
      <c r="J397" s="26"/>
      <c r="K397" s="7"/>
      <c r="L397" s="39">
        <v>0</v>
      </c>
      <c r="M397" s="26"/>
      <c r="N397" s="21" t="e">
        <f t="shared" si="66"/>
        <v>#N/A</v>
      </c>
      <c r="O397" s="26"/>
      <c r="P397" s="7"/>
      <c r="Q397" s="39">
        <v>0</v>
      </c>
      <c r="R397" s="26"/>
      <c r="S397" s="39">
        <f t="shared" si="67"/>
        <v>0</v>
      </c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396" t="s">
        <v>424</v>
      </c>
      <c r="B398" s="7" t="s">
        <v>98</v>
      </c>
      <c r="C398" s="26" t="s">
        <v>19</v>
      </c>
      <c r="D398" s="54"/>
      <c r="E398" s="7"/>
      <c r="F398" s="19" t="e">
        <v>#N/A</v>
      </c>
      <c r="G398" s="56"/>
      <c r="H398" s="7"/>
      <c r="I398" s="19"/>
      <c r="J398" s="26"/>
      <c r="K398" s="7"/>
      <c r="L398" s="39">
        <v>0</v>
      </c>
      <c r="M398" s="26"/>
      <c r="N398" s="21" t="e">
        <f t="shared" si="66"/>
        <v>#N/A</v>
      </c>
      <c r="O398" s="26"/>
      <c r="P398" s="7"/>
      <c r="Q398" s="39">
        <v>0</v>
      </c>
      <c r="R398" s="26"/>
      <c r="S398" s="39">
        <f t="shared" si="67"/>
        <v>0</v>
      </c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396" t="s">
        <v>424</v>
      </c>
      <c r="B399" s="7" t="s">
        <v>98</v>
      </c>
      <c r="C399" s="26" t="s">
        <v>19</v>
      </c>
      <c r="D399" s="54"/>
      <c r="E399" s="7"/>
      <c r="F399" s="19" t="e">
        <v>#N/A</v>
      </c>
      <c r="G399" s="56"/>
      <c r="H399" s="7"/>
      <c r="I399" s="19"/>
      <c r="J399" s="26"/>
      <c r="K399" s="7"/>
      <c r="L399" s="39">
        <v>0</v>
      </c>
      <c r="M399" s="26"/>
      <c r="N399" s="21" t="e">
        <f t="shared" si="66"/>
        <v>#N/A</v>
      </c>
      <c r="O399" s="26"/>
      <c r="P399" s="7"/>
      <c r="Q399" s="39">
        <v>0</v>
      </c>
      <c r="R399" s="26"/>
      <c r="S399" s="39">
        <f t="shared" si="67"/>
        <v>0</v>
      </c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 thickTop="1" thickBot="1">
      <c r="A400" s="396" t="s">
        <v>424</v>
      </c>
      <c r="B400" s="7" t="s">
        <v>98</v>
      </c>
      <c r="C400" s="26" t="s">
        <v>19</v>
      </c>
      <c r="D400" s="54"/>
      <c r="E400" s="7"/>
      <c r="F400" s="19" t="e">
        <v>#N/A</v>
      </c>
      <c r="G400" s="56"/>
      <c r="H400" s="7"/>
      <c r="I400" s="19"/>
      <c r="J400" s="26"/>
      <c r="K400" s="7"/>
      <c r="L400" s="39">
        <v>0</v>
      </c>
      <c r="M400" s="26"/>
      <c r="N400" s="21" t="e">
        <f t="shared" si="66"/>
        <v>#N/A</v>
      </c>
      <c r="O400" s="26"/>
      <c r="P400" s="7"/>
      <c r="Q400" s="39">
        <v>0</v>
      </c>
      <c r="R400" s="26"/>
      <c r="S400" s="39">
        <f t="shared" si="67"/>
        <v>0</v>
      </c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396" t="s">
        <v>438</v>
      </c>
      <c r="B401" s="7" t="s">
        <v>98</v>
      </c>
      <c r="C401" s="272" t="s">
        <v>44</v>
      </c>
      <c r="D401" s="54"/>
      <c r="E401" s="7"/>
      <c r="F401" s="31" t="e">
        <v>#N/A</v>
      </c>
      <c r="G401" s="56"/>
      <c r="H401" s="7"/>
      <c r="I401" s="31"/>
      <c r="J401" s="26"/>
      <c r="K401" s="7"/>
      <c r="L401" s="39">
        <v>1984.9599999999991</v>
      </c>
      <c r="M401" s="26"/>
      <c r="N401" s="21" t="e">
        <f t="shared" si="66"/>
        <v>#N/A</v>
      </c>
      <c r="O401" s="26"/>
      <c r="P401" s="7"/>
      <c r="Q401" s="39">
        <v>1134.9199999999983</v>
      </c>
      <c r="R401" s="26"/>
      <c r="S401" s="39">
        <f t="shared" si="67"/>
        <v>850.04000000000087</v>
      </c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396" t="s">
        <v>439</v>
      </c>
      <c r="B402" s="7" t="s">
        <v>98</v>
      </c>
      <c r="C402" s="271" t="s">
        <v>45</v>
      </c>
      <c r="D402" s="68"/>
      <c r="E402" s="69"/>
      <c r="F402" s="19" t="e">
        <v>#N/A</v>
      </c>
      <c r="G402" s="70"/>
      <c r="H402" s="69"/>
      <c r="I402" s="19"/>
      <c r="J402" s="71"/>
      <c r="K402" s="69"/>
      <c r="L402" s="72">
        <v>3728.8300000000017</v>
      </c>
      <c r="M402" s="71"/>
      <c r="N402" s="36" t="e">
        <f t="shared" si="66"/>
        <v>#N/A</v>
      </c>
      <c r="O402" s="71"/>
      <c r="P402" s="69"/>
      <c r="Q402" s="72">
        <v>3052.8999999999978</v>
      </c>
      <c r="R402" s="71"/>
      <c r="S402" s="72">
        <f t="shared" si="67"/>
        <v>675.93000000000393</v>
      </c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396" t="s">
        <v>440</v>
      </c>
      <c r="B403" s="7" t="s">
        <v>98</v>
      </c>
      <c r="C403" s="271" t="s">
        <v>46</v>
      </c>
      <c r="D403" s="54"/>
      <c r="E403" s="7"/>
      <c r="F403" s="19" t="e">
        <v>#N/A</v>
      </c>
      <c r="G403" s="56"/>
      <c r="H403" s="7"/>
      <c r="I403" s="19"/>
      <c r="J403" s="26"/>
      <c r="K403" s="7"/>
      <c r="L403" s="39">
        <v>444.86999999999989</v>
      </c>
      <c r="M403" s="26"/>
      <c r="N403" s="21" t="e">
        <f t="shared" si="66"/>
        <v>#N/A</v>
      </c>
      <c r="O403" s="26"/>
      <c r="P403" s="7"/>
      <c r="Q403" s="39">
        <v>1428.4499999999989</v>
      </c>
      <c r="R403" s="26"/>
      <c r="S403" s="39">
        <f t="shared" si="67"/>
        <v>-983.57999999999902</v>
      </c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396" t="s">
        <v>441</v>
      </c>
      <c r="B404" s="7" t="s">
        <v>98</v>
      </c>
      <c r="C404" s="271" t="s">
        <v>47</v>
      </c>
      <c r="D404" s="54"/>
      <c r="E404" s="7"/>
      <c r="F404" s="19" t="e">
        <v>#N/A</v>
      </c>
      <c r="G404" s="56"/>
      <c r="H404" s="7"/>
      <c r="I404" s="19"/>
      <c r="J404" s="26"/>
      <c r="K404" s="7"/>
      <c r="L404" s="39">
        <v>1388.9700000000003</v>
      </c>
      <c r="M404" s="26"/>
      <c r="N404" s="21" t="e">
        <f t="shared" si="66"/>
        <v>#N/A</v>
      </c>
      <c r="O404" s="26"/>
      <c r="P404" s="7"/>
      <c r="Q404" s="39">
        <v>183.91000000000008</v>
      </c>
      <c r="R404" s="26"/>
      <c r="S404" s="39">
        <f t="shared" si="67"/>
        <v>1205.0600000000002</v>
      </c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 thickTop="1" thickBot="1">
      <c r="A405" s="396" t="s">
        <v>424</v>
      </c>
      <c r="B405" s="7" t="s">
        <v>98</v>
      </c>
      <c r="C405" s="26" t="s">
        <v>19</v>
      </c>
      <c r="D405" s="57"/>
      <c r="E405" s="73"/>
      <c r="F405" s="19" t="e">
        <v>#N/A</v>
      </c>
      <c r="G405" s="59"/>
      <c r="H405" s="73"/>
      <c r="I405" s="19"/>
      <c r="J405" s="14"/>
      <c r="K405" s="73"/>
      <c r="L405" s="39">
        <v>0</v>
      </c>
      <c r="M405" s="14"/>
      <c r="N405" s="61" t="e">
        <f t="shared" si="66"/>
        <v>#N/A</v>
      </c>
      <c r="O405" s="14"/>
      <c r="P405" s="73"/>
      <c r="Q405" s="39">
        <v>0</v>
      </c>
      <c r="R405" s="14"/>
      <c r="S405" s="61">
        <f t="shared" si="67"/>
        <v>0</v>
      </c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396" t="s">
        <v>442</v>
      </c>
      <c r="B406" s="7" t="s">
        <v>98</v>
      </c>
      <c r="C406" s="139" t="s">
        <v>48</v>
      </c>
      <c r="D406" s="62" t="s">
        <v>38</v>
      </c>
      <c r="E406" s="63" t="e">
        <f>F406/F$390</f>
        <v>#N/A</v>
      </c>
      <c r="F406" s="64" t="e">
        <f>+SUM(F394:F405)</f>
        <v>#N/A</v>
      </c>
      <c r="G406" s="65"/>
      <c r="H406" s="63"/>
      <c r="I406" s="64"/>
      <c r="J406" s="65" t="s">
        <v>38</v>
      </c>
      <c r="K406" s="63">
        <f>L406/L$390</f>
        <v>0.34573716729816573</v>
      </c>
      <c r="L406" s="64">
        <f>+SUM(L394:L405)</f>
        <v>31919.329999999987</v>
      </c>
      <c r="M406" s="66"/>
      <c r="N406" s="64" t="e">
        <f t="shared" si="66"/>
        <v>#N/A</v>
      </c>
      <c r="O406" s="65" t="s">
        <v>38</v>
      </c>
      <c r="P406" s="63">
        <f>Q406/Q$390</f>
        <v>0.31030138196214518</v>
      </c>
      <c r="Q406" s="64">
        <f>+SUM(Q394:Q405)</f>
        <v>30298.099999999973</v>
      </c>
      <c r="R406" s="67"/>
      <c r="S406" s="64">
        <f t="shared" si="67"/>
        <v>1621.2300000000141</v>
      </c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396" t="s">
        <v>443</v>
      </c>
      <c r="B407" s="7" t="s">
        <v>98</v>
      </c>
      <c r="C407" s="329" t="s">
        <v>49</v>
      </c>
      <c r="D407" s="54"/>
      <c r="E407" s="7"/>
      <c r="F407" s="19" t="e">
        <v>#N/A</v>
      </c>
      <c r="G407" s="56"/>
      <c r="H407" s="7"/>
      <c r="I407" s="19"/>
      <c r="J407" s="26"/>
      <c r="K407" s="7"/>
      <c r="L407" s="39">
        <v>1155.46</v>
      </c>
      <c r="M407" s="26"/>
      <c r="N407" s="39" t="e">
        <f t="shared" si="66"/>
        <v>#N/A</v>
      </c>
      <c r="O407" s="26"/>
      <c r="P407" s="7"/>
      <c r="Q407" s="39">
        <v>944.61000000000058</v>
      </c>
      <c r="R407" s="26"/>
      <c r="S407" s="39">
        <f t="shared" si="67"/>
        <v>210.84999999999945</v>
      </c>
      <c r="T407" s="6"/>
      <c r="U407" s="6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396" t="s">
        <v>444</v>
      </c>
      <c r="B408" s="7" t="s">
        <v>98</v>
      </c>
      <c r="C408" s="271" t="s">
        <v>50</v>
      </c>
      <c r="D408" s="54"/>
      <c r="E408" s="7"/>
      <c r="F408" s="19" t="e">
        <v>#N/A</v>
      </c>
      <c r="G408" s="56"/>
      <c r="H408" s="7"/>
      <c r="I408" s="19"/>
      <c r="J408" s="26"/>
      <c r="K408" s="7"/>
      <c r="L408" s="39">
        <v>0</v>
      </c>
      <c r="M408" s="26"/>
      <c r="N408" s="39" t="e">
        <f t="shared" si="66"/>
        <v>#N/A</v>
      </c>
      <c r="O408" s="26"/>
      <c r="P408" s="7"/>
      <c r="Q408" s="39">
        <v>0</v>
      </c>
      <c r="R408" s="26"/>
      <c r="S408" s="39">
        <f t="shared" si="67"/>
        <v>0</v>
      </c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396" t="s">
        <v>445</v>
      </c>
      <c r="B409" s="7" t="s">
        <v>98</v>
      </c>
      <c r="C409" s="272" t="s">
        <v>51</v>
      </c>
      <c r="D409" s="57"/>
      <c r="E409" s="73"/>
      <c r="F409" s="31" t="e">
        <v>#N/A</v>
      </c>
      <c r="G409" s="59"/>
      <c r="H409" s="73"/>
      <c r="I409" s="31"/>
      <c r="J409" s="14"/>
      <c r="K409" s="73"/>
      <c r="L409" s="61">
        <v>1652.2000000000007</v>
      </c>
      <c r="M409" s="14"/>
      <c r="N409" s="61" t="e">
        <f t="shared" si="66"/>
        <v>#N/A</v>
      </c>
      <c r="O409" s="14"/>
      <c r="P409" s="73"/>
      <c r="Q409" s="61">
        <v>2359.1100000000006</v>
      </c>
      <c r="R409" s="14"/>
      <c r="S409" s="61">
        <f t="shared" si="67"/>
        <v>-706.90999999999985</v>
      </c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396" t="s">
        <v>446</v>
      </c>
      <c r="B410" s="7" t="s">
        <v>98</v>
      </c>
      <c r="C410" s="271" t="s">
        <v>52</v>
      </c>
      <c r="D410" s="54"/>
      <c r="E410" s="7"/>
      <c r="F410" s="19" t="e">
        <v>#N/A</v>
      </c>
      <c r="G410" s="56"/>
      <c r="H410" s="7"/>
      <c r="I410" s="19"/>
      <c r="J410" s="26"/>
      <c r="K410" s="7"/>
      <c r="L410" s="39">
        <v>1981.5600000000013</v>
      </c>
      <c r="M410" s="26"/>
      <c r="N410" s="39" t="e">
        <f t="shared" si="66"/>
        <v>#N/A</v>
      </c>
      <c r="O410" s="26"/>
      <c r="P410" s="7"/>
      <c r="Q410" s="39">
        <v>1828.7899999999991</v>
      </c>
      <c r="R410" s="26"/>
      <c r="S410" s="39">
        <f t="shared" si="67"/>
        <v>152.77000000000226</v>
      </c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396" t="s">
        <v>447</v>
      </c>
      <c r="B411" s="7" t="s">
        <v>98</v>
      </c>
      <c r="C411" s="271" t="s">
        <v>53</v>
      </c>
      <c r="D411" s="54"/>
      <c r="E411" s="7"/>
      <c r="F411" s="19" t="e">
        <v>#N/A</v>
      </c>
      <c r="G411" s="56"/>
      <c r="H411" s="7"/>
      <c r="I411" s="19"/>
      <c r="J411" s="26"/>
      <c r="K411" s="7"/>
      <c r="L411" s="39">
        <v>278.6899999999996</v>
      </c>
      <c r="M411" s="26"/>
      <c r="N411" s="39" t="e">
        <f t="shared" si="66"/>
        <v>#N/A</v>
      </c>
      <c r="O411" s="26"/>
      <c r="P411" s="7"/>
      <c r="Q411" s="39">
        <v>150</v>
      </c>
      <c r="R411" s="26"/>
      <c r="S411" s="39">
        <f t="shared" si="67"/>
        <v>128.6899999999996</v>
      </c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396" t="s">
        <v>448</v>
      </c>
      <c r="B412" s="7" t="s">
        <v>98</v>
      </c>
      <c r="C412" s="272" t="s">
        <v>54</v>
      </c>
      <c r="D412" s="57"/>
      <c r="E412" s="73"/>
      <c r="F412" s="31" t="e">
        <v>#N/A</v>
      </c>
      <c r="G412" s="59"/>
      <c r="H412" s="73"/>
      <c r="I412" s="31"/>
      <c r="J412" s="14"/>
      <c r="K412" s="73"/>
      <c r="L412" s="61">
        <v>1012.3899999999994</v>
      </c>
      <c r="M412" s="14"/>
      <c r="N412" s="61" t="e">
        <f t="shared" si="66"/>
        <v>#N/A</v>
      </c>
      <c r="O412" s="14"/>
      <c r="P412" s="73"/>
      <c r="Q412" s="61">
        <v>2246.83</v>
      </c>
      <c r="R412" s="14"/>
      <c r="S412" s="61">
        <f t="shared" si="67"/>
        <v>-1234.4400000000005</v>
      </c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396" t="s">
        <v>449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66"/>
        <v>0</v>
      </c>
      <c r="O413" s="26"/>
      <c r="P413" s="7"/>
      <c r="Q413" s="39">
        <v>0</v>
      </c>
      <c r="R413" s="26"/>
      <c r="S413" s="39">
        <f t="shared" si="67"/>
        <v>0</v>
      </c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396" t="s">
        <v>450</v>
      </c>
      <c r="B414" s="7" t="s">
        <v>98</v>
      </c>
      <c r="C414" s="271" t="s">
        <v>55</v>
      </c>
      <c r="D414" s="54"/>
      <c r="E414" s="7"/>
      <c r="F414" s="19" t="e">
        <v>#N/A</v>
      </c>
      <c r="G414" s="56"/>
      <c r="H414" s="7"/>
      <c r="I414" s="19"/>
      <c r="J414" s="26"/>
      <c r="K414" s="7"/>
      <c r="L414" s="39">
        <v>39.199999999999818</v>
      </c>
      <c r="M414" s="26"/>
      <c r="N414" s="39" t="e">
        <f t="shared" si="66"/>
        <v>#N/A</v>
      </c>
      <c r="O414" s="26"/>
      <c r="P414" s="7"/>
      <c r="Q414" s="39">
        <v>129.60000000000002</v>
      </c>
      <c r="R414" s="26"/>
      <c r="S414" s="39">
        <f t="shared" si="67"/>
        <v>-90.400000000000205</v>
      </c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396" t="s">
        <v>451</v>
      </c>
      <c r="B415" s="7" t="s">
        <v>98</v>
      </c>
      <c r="C415" s="271" t="s">
        <v>56</v>
      </c>
      <c r="D415" s="54"/>
      <c r="E415" s="7"/>
      <c r="F415" s="19" t="e">
        <v>#N/A</v>
      </c>
      <c r="G415" s="56"/>
      <c r="H415" s="7"/>
      <c r="I415" s="19"/>
      <c r="J415" s="26"/>
      <c r="K415" s="7"/>
      <c r="L415" s="39">
        <v>0</v>
      </c>
      <c r="M415" s="26"/>
      <c r="N415" s="39" t="e">
        <f t="shared" si="66"/>
        <v>#N/A</v>
      </c>
      <c r="O415" s="26"/>
      <c r="P415" s="7"/>
      <c r="Q415" s="39">
        <v>0</v>
      </c>
      <c r="R415" s="26"/>
      <c r="S415" s="39">
        <f t="shared" si="67"/>
        <v>0</v>
      </c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396" t="s">
        <v>452</v>
      </c>
      <c r="B416" s="7" t="s">
        <v>98</v>
      </c>
      <c r="C416" s="271" t="s">
        <v>57</v>
      </c>
      <c r="D416" s="54"/>
      <c r="E416" s="7"/>
      <c r="F416" s="19" t="e">
        <v>#N/A</v>
      </c>
      <c r="G416" s="56"/>
      <c r="H416" s="7"/>
      <c r="I416" s="19"/>
      <c r="J416" s="26"/>
      <c r="K416" s="7"/>
      <c r="L416" s="39">
        <v>533.02999999999975</v>
      </c>
      <c r="M416" s="26"/>
      <c r="N416" s="39" t="e">
        <f t="shared" si="66"/>
        <v>#N/A</v>
      </c>
      <c r="O416" s="26"/>
      <c r="P416" s="7"/>
      <c r="Q416" s="39">
        <v>1021.8500000000004</v>
      </c>
      <c r="R416" s="26"/>
      <c r="S416" s="39">
        <f t="shared" si="67"/>
        <v>-488.82000000000062</v>
      </c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396" t="s">
        <v>453</v>
      </c>
      <c r="B417" s="7" t="s">
        <v>98</v>
      </c>
      <c r="C417" s="271" t="s">
        <v>58</v>
      </c>
      <c r="D417" s="54"/>
      <c r="E417" s="7"/>
      <c r="F417" s="19" t="e">
        <v>#N/A</v>
      </c>
      <c r="G417" s="56"/>
      <c r="H417" s="7"/>
      <c r="I417" s="19"/>
      <c r="J417" s="26"/>
      <c r="K417" s="7"/>
      <c r="L417" s="39">
        <v>224.08999999999992</v>
      </c>
      <c r="M417" s="26"/>
      <c r="N417" s="39" t="e">
        <f t="shared" si="66"/>
        <v>#N/A</v>
      </c>
      <c r="O417" s="26"/>
      <c r="P417" s="7"/>
      <c r="Q417" s="39">
        <v>323.27</v>
      </c>
      <c r="R417" s="26"/>
      <c r="S417" s="39">
        <f t="shared" si="67"/>
        <v>-99.180000000000064</v>
      </c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396" t="s">
        <v>454</v>
      </c>
      <c r="B418" s="7" t="s">
        <v>98</v>
      </c>
      <c r="C418" s="271" t="s">
        <v>59</v>
      </c>
      <c r="D418" s="54"/>
      <c r="E418" s="7"/>
      <c r="F418" s="19" t="e">
        <v>#N/A</v>
      </c>
      <c r="G418" s="56"/>
      <c r="H418" s="7"/>
      <c r="I418" s="19"/>
      <c r="J418" s="26"/>
      <c r="K418" s="7"/>
      <c r="L418" s="39">
        <v>810.47999999999956</v>
      </c>
      <c r="M418" s="26"/>
      <c r="N418" s="39" t="e">
        <f t="shared" si="66"/>
        <v>#N/A</v>
      </c>
      <c r="O418" s="26"/>
      <c r="P418" s="7"/>
      <c r="Q418" s="39">
        <v>1583.3200000000002</v>
      </c>
      <c r="R418" s="26"/>
      <c r="S418" s="39">
        <f t="shared" si="67"/>
        <v>-772.8400000000006</v>
      </c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396" t="s">
        <v>455</v>
      </c>
      <c r="B419" s="7" t="s">
        <v>98</v>
      </c>
      <c r="C419" s="271" t="s">
        <v>60</v>
      </c>
      <c r="D419" s="54"/>
      <c r="E419" s="7"/>
      <c r="F419" s="19" t="e">
        <v>#N/A</v>
      </c>
      <c r="G419" s="56"/>
      <c r="H419" s="7"/>
      <c r="I419" s="19"/>
      <c r="J419" s="26"/>
      <c r="K419" s="7"/>
      <c r="L419" s="39">
        <v>1214.4099999999989</v>
      </c>
      <c r="M419" s="26"/>
      <c r="N419" s="39" t="e">
        <f t="shared" si="66"/>
        <v>#N/A</v>
      </c>
      <c r="O419" s="26"/>
      <c r="P419" s="7"/>
      <c r="Q419" s="39">
        <v>1868.3000000000002</v>
      </c>
      <c r="R419" s="26"/>
      <c r="S419" s="39">
        <f t="shared" si="67"/>
        <v>-653.89000000000124</v>
      </c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396" t="s">
        <v>456</v>
      </c>
      <c r="B420" s="7" t="s">
        <v>98</v>
      </c>
      <c r="C420" s="271" t="s">
        <v>61</v>
      </c>
      <c r="D420" s="54"/>
      <c r="E420" s="7"/>
      <c r="F420" s="19" t="e">
        <v>#N/A</v>
      </c>
      <c r="G420" s="56"/>
      <c r="H420" s="7"/>
      <c r="I420" s="19"/>
      <c r="J420" s="26"/>
      <c r="K420" s="7"/>
      <c r="L420" s="39">
        <v>0</v>
      </c>
      <c r="M420" s="26"/>
      <c r="N420" s="39" t="e">
        <f t="shared" si="66"/>
        <v>#N/A</v>
      </c>
      <c r="O420" s="26"/>
      <c r="P420" s="7"/>
      <c r="Q420" s="39">
        <v>0</v>
      </c>
      <c r="R420" s="26"/>
      <c r="S420" s="39">
        <f t="shared" si="67"/>
        <v>0</v>
      </c>
      <c r="T420" s="6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396" t="s">
        <v>457</v>
      </c>
      <c r="B421" s="7" t="s">
        <v>98</v>
      </c>
      <c r="C421" s="271" t="s">
        <v>62</v>
      </c>
      <c r="D421" s="54"/>
      <c r="E421" s="7"/>
      <c r="F421" s="19" t="e">
        <v>#N/A</v>
      </c>
      <c r="G421" s="56"/>
      <c r="H421" s="7"/>
      <c r="I421" s="19"/>
      <c r="J421" s="26"/>
      <c r="K421" s="7"/>
      <c r="L421" s="39">
        <v>469.05999999999995</v>
      </c>
      <c r="M421" s="26"/>
      <c r="N421" s="39" t="e">
        <f t="shared" si="66"/>
        <v>#N/A</v>
      </c>
      <c r="O421" s="26"/>
      <c r="P421" s="7"/>
      <c r="Q421" s="39">
        <v>95.799999999999955</v>
      </c>
      <c r="R421" s="26"/>
      <c r="S421" s="39">
        <f t="shared" si="67"/>
        <v>373.26</v>
      </c>
      <c r="T421" s="6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396" t="s">
        <v>424</v>
      </c>
      <c r="B422" s="7" t="s">
        <v>98</v>
      </c>
      <c r="C422" s="271" t="s">
        <v>19</v>
      </c>
      <c r="D422" s="54"/>
      <c r="E422" s="7"/>
      <c r="F422" s="19" t="e">
        <v>#N/A</v>
      </c>
      <c r="G422" s="56"/>
      <c r="H422" s="7"/>
      <c r="I422" s="19"/>
      <c r="J422" s="26"/>
      <c r="K422" s="7"/>
      <c r="L422" s="39">
        <v>0</v>
      </c>
      <c r="M422" s="26"/>
      <c r="N422" s="39" t="e">
        <f t="shared" si="66"/>
        <v>#N/A</v>
      </c>
      <c r="O422" s="26"/>
      <c r="P422" s="7"/>
      <c r="Q422" s="39">
        <v>0</v>
      </c>
      <c r="R422" s="26"/>
      <c r="S422" s="39">
        <f t="shared" si="67"/>
        <v>0</v>
      </c>
      <c r="T422" s="6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396" t="s">
        <v>424</v>
      </c>
      <c r="B423" s="7" t="s">
        <v>98</v>
      </c>
      <c r="C423" s="271" t="s">
        <v>19</v>
      </c>
      <c r="D423" s="54"/>
      <c r="E423" s="7"/>
      <c r="F423" s="19" t="e">
        <v>#N/A</v>
      </c>
      <c r="G423" s="56"/>
      <c r="H423" s="7"/>
      <c r="I423" s="19"/>
      <c r="J423" s="26"/>
      <c r="K423" s="7"/>
      <c r="L423" s="39">
        <v>0</v>
      </c>
      <c r="M423" s="26"/>
      <c r="N423" s="39" t="e">
        <f t="shared" si="66"/>
        <v>#N/A</v>
      </c>
      <c r="O423" s="26"/>
      <c r="P423" s="7"/>
      <c r="Q423" s="39">
        <v>0</v>
      </c>
      <c r="R423" s="26"/>
      <c r="S423" s="39">
        <f t="shared" si="67"/>
        <v>0</v>
      </c>
      <c r="T423" s="6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396" t="s">
        <v>424</v>
      </c>
      <c r="B424" s="7" t="s">
        <v>98</v>
      </c>
      <c r="C424" s="271" t="s">
        <v>19</v>
      </c>
      <c r="D424" s="54"/>
      <c r="E424" s="7"/>
      <c r="F424" s="19" t="e">
        <v>#N/A</v>
      </c>
      <c r="G424" s="56"/>
      <c r="H424" s="7"/>
      <c r="I424" s="19"/>
      <c r="J424" s="26"/>
      <c r="K424" s="7"/>
      <c r="L424" s="39">
        <v>0</v>
      </c>
      <c r="M424" s="26"/>
      <c r="N424" s="39" t="e">
        <f t="shared" si="66"/>
        <v>#N/A</v>
      </c>
      <c r="O424" s="26"/>
      <c r="P424" s="7"/>
      <c r="Q424" s="39">
        <v>0</v>
      </c>
      <c r="R424" s="26"/>
      <c r="S424" s="39">
        <f t="shared" si="67"/>
        <v>0</v>
      </c>
      <c r="T424" s="6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396"/>
      <c r="B425" s="7"/>
      <c r="C425" s="139" t="s">
        <v>63</v>
      </c>
      <c r="D425" s="62" t="s">
        <v>38</v>
      </c>
      <c r="E425" s="63" t="e">
        <f>F425/F$390</f>
        <v>#N/A</v>
      </c>
      <c r="F425" s="64" t="e">
        <f>+SUM(F407:F424)</f>
        <v>#N/A</v>
      </c>
      <c r="G425" s="65"/>
      <c r="H425" s="63"/>
      <c r="I425" s="64"/>
      <c r="J425" s="65" t="s">
        <v>38</v>
      </c>
      <c r="K425" s="63">
        <f>L425/L$390</f>
        <v>0.10149819334457125</v>
      </c>
      <c r="L425" s="64">
        <f>+SUM(L407:L424)</f>
        <v>9370.5699999999979</v>
      </c>
      <c r="M425" s="66"/>
      <c r="N425" s="64" t="e">
        <f>+SUM(N407:N424)</f>
        <v>#N/A</v>
      </c>
      <c r="O425" s="65" t="s">
        <v>38</v>
      </c>
      <c r="P425" s="63">
        <f>Q425/Q$390</f>
        <v>0.12854738711900182</v>
      </c>
      <c r="Q425" s="64">
        <f>+SUM(Q407:Q424)</f>
        <v>12551.48</v>
      </c>
      <c r="R425" s="67"/>
      <c r="S425" s="64">
        <f>+SUM(S407:S424)</f>
        <v>-3180.9100000000017</v>
      </c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396"/>
      <c r="B427" s="7"/>
      <c r="C427" s="139" t="s">
        <v>64</v>
      </c>
      <c r="D427" s="62" t="s">
        <v>38</v>
      </c>
      <c r="E427" s="63" t="e">
        <f>F427/F$390</f>
        <v>#N/A</v>
      </c>
      <c r="F427" s="64" t="e">
        <f>F406+F425</f>
        <v>#N/A</v>
      </c>
      <c r="G427" s="65"/>
      <c r="H427" s="63"/>
      <c r="I427" s="64"/>
      <c r="J427" s="65" t="s">
        <v>38</v>
      </c>
      <c r="K427" s="63">
        <f>L427/L$390</f>
        <v>0.44723536064273695</v>
      </c>
      <c r="L427" s="64">
        <f>L406+L425</f>
        <v>41289.899999999987</v>
      </c>
      <c r="M427" s="66"/>
      <c r="N427" s="64" t="e">
        <f>L427-F427</f>
        <v>#N/A</v>
      </c>
      <c r="O427" s="65" t="s">
        <v>38</v>
      </c>
      <c r="P427" s="63">
        <f>Q427/Q$390</f>
        <v>0.43884876908114701</v>
      </c>
      <c r="Q427" s="64">
        <f>Q406+Q425</f>
        <v>42849.579999999973</v>
      </c>
      <c r="R427" s="67"/>
      <c r="S427" s="64">
        <f>L427-Q427</f>
        <v>-1559.6799999999857</v>
      </c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396"/>
      <c r="B429" s="7"/>
      <c r="C429" s="276" t="s">
        <v>69</v>
      </c>
      <c r="D429" s="277"/>
      <c r="E429" s="278"/>
      <c r="F429" s="138" t="e">
        <f>F390-F427</f>
        <v>#N/A</v>
      </c>
      <c r="G429" s="279"/>
      <c r="H429" s="278"/>
      <c r="I429" s="138"/>
      <c r="J429" s="279"/>
      <c r="K429" s="278"/>
      <c r="L429" s="138">
        <f>L390-L427</f>
        <v>51032.630000000201</v>
      </c>
      <c r="M429" s="280"/>
      <c r="N429" s="138" t="e">
        <f>L429-F429</f>
        <v>#N/A</v>
      </c>
      <c r="O429" s="279"/>
      <c r="P429" s="278"/>
      <c r="Q429" s="138">
        <f>Q390-Q427</f>
        <v>54791.3</v>
      </c>
      <c r="R429" s="281"/>
      <c r="S429" s="138">
        <f>L429-Q429</f>
        <v>-3758.6699999998018</v>
      </c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+C367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458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Réalisé, Aout 2026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426" t="s">
        <v>5</v>
      </c>
      <c r="E434" s="427"/>
      <c r="F434" s="425"/>
      <c r="G434" s="424"/>
      <c r="H434" s="427"/>
      <c r="I434" s="425"/>
      <c r="J434" s="424" t="s">
        <v>7</v>
      </c>
      <c r="K434" s="427"/>
      <c r="L434" s="425"/>
      <c r="M434" s="424"/>
      <c r="N434" s="425"/>
      <c r="O434" s="426" t="s">
        <v>8</v>
      </c>
      <c r="P434" s="427"/>
      <c r="Q434" s="425"/>
      <c r="R434" s="424" t="s">
        <v>9</v>
      </c>
      <c r="S434" s="425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396" t="s">
        <v>114</v>
      </c>
      <c r="B435" s="7" t="s">
        <v>458</v>
      </c>
      <c r="C435" s="330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214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396"/>
      <c r="B436" s="7" t="s">
        <v>458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396"/>
      <c r="B437" s="7" t="s">
        <v>458</v>
      </c>
      <c r="C437" s="26" t="s">
        <v>459</v>
      </c>
      <c r="D437" s="55" t="e">
        <v>#N/A</v>
      </c>
      <c r="E437" s="55" t="e">
        <v>#N/A</v>
      </c>
      <c r="F437" s="55" t="e">
        <v>#N/A</v>
      </c>
      <c r="G437" s="98"/>
      <c r="H437" s="55"/>
      <c r="I437" s="55"/>
      <c r="J437" s="40">
        <v>332</v>
      </c>
      <c r="K437" s="55">
        <v>53877.5</v>
      </c>
      <c r="L437" s="39">
        <v>38417.480000000003</v>
      </c>
      <c r="M437" s="99">
        <f>IFERROR((K437-E437)/E437,0)</f>
        <v>0</v>
      </c>
      <c r="N437" s="39" t="e">
        <f>L437-F437</f>
        <v>#N/A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38417.480000000003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396"/>
      <c r="B438" s="7" t="s">
        <v>458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0.71305238736021537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396"/>
      <c r="B439" s="7" t="s">
        <v>458</v>
      </c>
      <c r="C439" s="26"/>
      <c r="D439" s="53"/>
      <c r="E439" s="141"/>
      <c r="F439" s="87"/>
      <c r="G439" s="85"/>
      <c r="H439" s="141"/>
      <c r="I439" s="87"/>
      <c r="J439" s="85"/>
      <c r="K439" s="312">
        <f>IFERROR(K437/J437,0)</f>
        <v>162.28162650602408</v>
      </c>
      <c r="L439" s="84"/>
      <c r="M439" s="85"/>
      <c r="N439" s="84"/>
      <c r="O439" s="85"/>
      <c r="P439" s="312">
        <f>IFERROR(P437/O437,0)</f>
        <v>0</v>
      </c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396"/>
      <c r="B440" s="7" t="s">
        <v>458</v>
      </c>
      <c r="C440" s="335" t="s">
        <v>460</v>
      </c>
      <c r="D440" s="105" t="e">
        <v>#N/A</v>
      </c>
      <c r="E440" s="55" t="e">
        <v>#N/A</v>
      </c>
      <c r="F440" s="55" t="e">
        <v>#N/A</v>
      </c>
      <c r="G440" s="131"/>
      <c r="H440" s="55"/>
      <c r="I440" s="55"/>
      <c r="J440" s="106">
        <v>139</v>
      </c>
      <c r="K440" s="105">
        <v>17125</v>
      </c>
      <c r="L440" s="72">
        <v>12648.740000000005</v>
      </c>
      <c r="M440" s="109">
        <f>IFERROR((K440-E440)/E440,0)</f>
        <v>0</v>
      </c>
      <c r="N440" s="72" t="e">
        <f>L440-F440</f>
        <v>#N/A</v>
      </c>
      <c r="O440" s="106">
        <v>450</v>
      </c>
      <c r="P440" s="105">
        <v>63589.339999999967</v>
      </c>
      <c r="Q440" s="72">
        <v>46850.859999999986</v>
      </c>
      <c r="R440" s="99">
        <f>IF(O440=0,0,J440/O440)</f>
        <v>0.30888888888888888</v>
      </c>
      <c r="S440" s="39">
        <f>L440-Q440</f>
        <v>-34202.119999999981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396"/>
      <c r="B441" s="7" t="s">
        <v>458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0.73861255474452581</v>
      </c>
      <c r="M441" s="99"/>
      <c r="N441" s="39">
        <f>IFERROR(N440/M440,0)</f>
        <v>0</v>
      </c>
      <c r="O441" s="40"/>
      <c r="P441" s="7"/>
      <c r="Q441" s="100">
        <f>IFERROR(Q440/P440,0)</f>
        <v>0.73677223257860536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396"/>
      <c r="B442" s="7" t="s">
        <v>458</v>
      </c>
      <c r="C442" s="14"/>
      <c r="D442" s="73"/>
      <c r="E442" s="101"/>
      <c r="F442" s="102"/>
      <c r="G442" s="14"/>
      <c r="H442" s="101"/>
      <c r="I442" s="102"/>
      <c r="J442" s="103"/>
      <c r="K442" s="312">
        <f>IFERROR(K440/J440,0)</f>
        <v>123.20143884892086</v>
      </c>
      <c r="L442" s="102"/>
      <c r="M442" s="104"/>
      <c r="N442" s="61"/>
      <c r="O442" s="103"/>
      <c r="P442" s="312">
        <f>IFERROR(P440/O440,0)</f>
        <v>141.30964444444436</v>
      </c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396"/>
      <c r="B443" s="7" t="s">
        <v>458</v>
      </c>
      <c r="C443" s="335" t="s">
        <v>461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5</v>
      </c>
      <c r="K443" s="55">
        <v>750</v>
      </c>
      <c r="L443" s="39">
        <v>536.94000000000005</v>
      </c>
      <c r="M443" s="99">
        <f>IFERROR((K443-E443)/E443,0)</f>
        <v>0</v>
      </c>
      <c r="N443" s="72">
        <f>L443-F443</f>
        <v>536.94000000000005</v>
      </c>
      <c r="O443" s="106">
        <v>16</v>
      </c>
      <c r="P443" s="55">
        <v>1795</v>
      </c>
      <c r="Q443" s="39">
        <v>1292.4499999999998</v>
      </c>
      <c r="R443" s="99">
        <f>IF(O443=0,0,J443/O443)</f>
        <v>0.3125</v>
      </c>
      <c r="S443" s="39">
        <f>L443-Q443</f>
        <v>-755.50999999999976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396"/>
      <c r="B444" s="7" t="s">
        <v>458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0.71592000000000011</v>
      </c>
      <c r="M444" s="99"/>
      <c r="N444" s="39">
        <f>IFERROR(N443/M443,0)</f>
        <v>0</v>
      </c>
      <c r="O444" s="40"/>
      <c r="P444" s="7"/>
      <c r="Q444" s="100">
        <f>IFERROR(Q443/P443,0)</f>
        <v>0.72002785515320322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396"/>
      <c r="B445" s="7" t="s">
        <v>458</v>
      </c>
      <c r="C445" s="26"/>
      <c r="D445" s="7"/>
      <c r="E445" s="7"/>
      <c r="F445" s="100"/>
      <c r="G445" s="7"/>
      <c r="H445" s="91"/>
      <c r="I445" s="93"/>
      <c r="J445" s="40"/>
      <c r="K445" s="404">
        <f>IFERROR(K443/J443,0)</f>
        <v>150</v>
      </c>
      <c r="L445" s="100"/>
      <c r="M445" s="99"/>
      <c r="N445" s="39"/>
      <c r="O445" s="40"/>
      <c r="P445" s="404">
        <f>IFERROR(P443/O443,0)</f>
        <v>112.1875</v>
      </c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396"/>
      <c r="B446" s="7" t="s">
        <v>458</v>
      </c>
      <c r="C446" s="26" t="s">
        <v>462</v>
      </c>
      <c r="D446" s="7"/>
      <c r="E446" s="7"/>
      <c r="F446" s="100"/>
      <c r="G446" s="7"/>
      <c r="H446" s="91"/>
      <c r="I446" s="93"/>
      <c r="J446" s="40"/>
      <c r="K446" s="7"/>
      <c r="L446" s="39">
        <v>-2023.32</v>
      </c>
      <c r="M446" s="99"/>
      <c r="N446" s="39"/>
      <c r="O446" s="40"/>
      <c r="P446" s="7"/>
      <c r="Q446" s="39">
        <v>0</v>
      </c>
      <c r="R446" s="40"/>
      <c r="S446" s="39">
        <f>L446-Q446</f>
        <v>-2023.32</v>
      </c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396"/>
      <c r="B447" s="7" t="s">
        <v>458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396" t="s">
        <v>463</v>
      </c>
      <c r="B448" s="7" t="s">
        <v>458</v>
      </c>
      <c r="C448" s="264" t="s">
        <v>464</v>
      </c>
      <c r="D448" s="41" t="e">
        <v>#N/A</v>
      </c>
      <c r="E448" s="42">
        <f>IFERROR(F448/D448,0)</f>
        <v>0</v>
      </c>
      <c r="F448" s="43" t="e">
        <v>#N/A</v>
      </c>
      <c r="G448" s="44"/>
      <c r="H448" s="42"/>
      <c r="I448" s="43"/>
      <c r="J448" s="44"/>
      <c r="K448" s="41">
        <f>K437+K440+K443</f>
        <v>71752.5</v>
      </c>
      <c r="L448" s="43">
        <f>L437+L440+L443+L446</f>
        <v>49579.840000000011</v>
      </c>
      <c r="M448" s="44"/>
      <c r="N448" s="43"/>
      <c r="O448" s="44"/>
      <c r="P448" s="41">
        <f>P437+P440+P443</f>
        <v>65384.339999999967</v>
      </c>
      <c r="Q448" s="43">
        <f>Q437+Q440+Q443+Q446</f>
        <v>48143.309999999983</v>
      </c>
      <c r="R448" s="44">
        <f>IF(O448=0,0,(J448-O448)/O448)</f>
        <v>0</v>
      </c>
      <c r="S448" s="43">
        <f>S437+S440+S443+S446</f>
        <v>1436.5300000000227</v>
      </c>
      <c r="T448" s="6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396" t="s">
        <v>114</v>
      </c>
      <c r="B449" s="7" t="s">
        <v>458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0.69098414689383658</v>
      </c>
      <c r="M449" s="48"/>
      <c r="N449" s="49"/>
      <c r="O449" s="47"/>
      <c r="P449" s="265"/>
      <c r="Q449" s="267">
        <f>Q448/P448</f>
        <v>0.73631254823402681</v>
      </c>
      <c r="R449" s="48"/>
      <c r="S449" s="267">
        <f>IF(Q448=0,0,S448/Q448)</f>
        <v>2.9838621399318477E-2</v>
      </c>
      <c r="T449" s="6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396" t="s">
        <v>114</v>
      </c>
      <c r="B450" s="7" t="s">
        <v>458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396" t="s">
        <v>465</v>
      </c>
      <c r="B451" s="7" t="s">
        <v>458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396" t="s">
        <v>466</v>
      </c>
      <c r="B452" s="7" t="s">
        <v>458</v>
      </c>
      <c r="C452" s="271" t="s">
        <v>40</v>
      </c>
      <c r="D452" s="7"/>
      <c r="E452" s="7"/>
      <c r="F452" s="19" t="e">
        <v>#N/A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f t="shared" ref="S452:S481" si="68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396" t="s">
        <v>467</v>
      </c>
      <c r="B453" s="7" t="s">
        <v>458</v>
      </c>
      <c r="C453" s="272" t="s">
        <v>41</v>
      </c>
      <c r="D453" s="54"/>
      <c r="E453" s="7"/>
      <c r="F453" s="31" t="e">
        <v>#N/A</v>
      </c>
      <c r="G453" s="56"/>
      <c r="H453" s="7"/>
      <c r="I453" s="31"/>
      <c r="J453" s="26"/>
      <c r="K453" s="7"/>
      <c r="L453" s="61">
        <v>4410.9700000000012</v>
      </c>
      <c r="M453" s="26"/>
      <c r="N453" s="39"/>
      <c r="O453" s="26"/>
      <c r="P453" s="7"/>
      <c r="Q453" s="61">
        <v>0</v>
      </c>
      <c r="R453" s="26"/>
      <c r="S453" s="39">
        <f t="shared" si="68"/>
        <v>4410.9700000000012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396" t="s">
        <v>468</v>
      </c>
      <c r="B454" s="7" t="s">
        <v>458</v>
      </c>
      <c r="C454" s="271" t="s">
        <v>42</v>
      </c>
      <c r="D454" s="68"/>
      <c r="E454" s="69"/>
      <c r="F454" s="19" t="e">
        <v>#N/A</v>
      </c>
      <c r="G454" s="70"/>
      <c r="H454" s="69"/>
      <c r="I454" s="19"/>
      <c r="J454" s="71"/>
      <c r="K454" s="69"/>
      <c r="L454" s="39">
        <v>375</v>
      </c>
      <c r="M454" s="71"/>
      <c r="N454" s="72"/>
      <c r="O454" s="71"/>
      <c r="P454" s="69"/>
      <c r="Q454" s="39">
        <v>0</v>
      </c>
      <c r="R454" s="71"/>
      <c r="S454" s="72">
        <f t="shared" si="68"/>
        <v>375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396" t="s">
        <v>469</v>
      </c>
      <c r="B455" s="7" t="s">
        <v>458</v>
      </c>
      <c r="C455" s="271" t="s">
        <v>43</v>
      </c>
      <c r="D455" s="54"/>
      <c r="E455" s="7"/>
      <c r="F455" s="19" t="e">
        <v>#N/A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68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396" t="s">
        <v>470</v>
      </c>
      <c r="B456" s="7" t="s">
        <v>458</v>
      </c>
      <c r="C456" s="26" t="s">
        <v>19</v>
      </c>
      <c r="D456" s="54"/>
      <c r="E456" s="7"/>
      <c r="F456" s="19" t="e">
        <v>#N/A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68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396" t="s">
        <v>470</v>
      </c>
      <c r="B457" s="7" t="s">
        <v>458</v>
      </c>
      <c r="C457" s="26" t="s">
        <v>19</v>
      </c>
      <c r="D457" s="54"/>
      <c r="E457" s="7"/>
      <c r="F457" s="19" t="e">
        <v>#N/A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68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396" t="s">
        <v>470</v>
      </c>
      <c r="B458" s="7" t="s">
        <v>458</v>
      </c>
      <c r="C458" s="26" t="s">
        <v>19</v>
      </c>
      <c r="D458" s="54"/>
      <c r="E458" s="7"/>
      <c r="F458" s="19" t="e">
        <v>#N/A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68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396" t="s">
        <v>471</v>
      </c>
      <c r="B459" s="7" t="s">
        <v>458</v>
      </c>
      <c r="C459" s="272" t="s">
        <v>44</v>
      </c>
      <c r="D459" s="54"/>
      <c r="E459" s="7"/>
      <c r="F459" s="31" t="e">
        <v>#N/A</v>
      </c>
      <c r="G459" s="56"/>
      <c r="H459" s="7"/>
      <c r="I459" s="31"/>
      <c r="J459" s="26"/>
      <c r="K459" s="7"/>
      <c r="L459" s="61">
        <v>3742.17</v>
      </c>
      <c r="M459" s="26"/>
      <c r="N459" s="39"/>
      <c r="O459" s="26"/>
      <c r="P459" s="7"/>
      <c r="Q459" s="61">
        <v>0</v>
      </c>
      <c r="R459" s="26"/>
      <c r="S459" s="39">
        <f t="shared" si="68"/>
        <v>3742.17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396" t="s">
        <v>472</v>
      </c>
      <c r="B460" s="7" t="s">
        <v>458</v>
      </c>
      <c r="C460" s="271" t="s">
        <v>45</v>
      </c>
      <c r="D460" s="68"/>
      <c r="E460" s="69"/>
      <c r="F460" s="19" t="e">
        <v>#N/A</v>
      </c>
      <c r="G460" s="70"/>
      <c r="H460" s="69"/>
      <c r="I460" s="19"/>
      <c r="J460" s="71"/>
      <c r="K460" s="69"/>
      <c r="L460" s="39">
        <v>4901.619999999999</v>
      </c>
      <c r="M460" s="71"/>
      <c r="N460" s="72"/>
      <c r="O460" s="71"/>
      <c r="P460" s="69"/>
      <c r="Q460" s="39">
        <v>0</v>
      </c>
      <c r="R460" s="71"/>
      <c r="S460" s="72">
        <f t="shared" si="68"/>
        <v>4901.619999999999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396" t="s">
        <v>473</v>
      </c>
      <c r="B461" s="7" t="s">
        <v>458</v>
      </c>
      <c r="C461" s="271" t="s">
        <v>46</v>
      </c>
      <c r="D461" s="54"/>
      <c r="E461" s="7"/>
      <c r="F461" s="19" t="e">
        <v>#N/A</v>
      </c>
      <c r="G461" s="56"/>
      <c r="H461" s="7"/>
      <c r="I461" s="19"/>
      <c r="J461" s="26"/>
      <c r="K461" s="7"/>
      <c r="L461" s="39">
        <v>1280.1999999999998</v>
      </c>
      <c r="M461" s="26"/>
      <c r="N461" s="39"/>
      <c r="O461" s="26"/>
      <c r="P461" s="7"/>
      <c r="Q461" s="39">
        <v>0</v>
      </c>
      <c r="R461" s="26"/>
      <c r="S461" s="39">
        <f t="shared" si="68"/>
        <v>1280.1999999999998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396" t="s">
        <v>474</v>
      </c>
      <c r="B462" s="7" t="s">
        <v>458</v>
      </c>
      <c r="C462" s="271" t="s">
        <v>47</v>
      </c>
      <c r="D462" s="54"/>
      <c r="E462" s="7"/>
      <c r="F462" s="19" t="e">
        <v>#N/A</v>
      </c>
      <c r="G462" s="56"/>
      <c r="H462" s="7"/>
      <c r="I462" s="19"/>
      <c r="J462" s="26"/>
      <c r="K462" s="7"/>
      <c r="L462" s="39">
        <v>647.62999999999988</v>
      </c>
      <c r="M462" s="26"/>
      <c r="N462" s="39"/>
      <c r="O462" s="26"/>
      <c r="P462" s="7"/>
      <c r="Q462" s="39">
        <v>0</v>
      </c>
      <c r="R462" s="26"/>
      <c r="S462" s="39">
        <f t="shared" si="68"/>
        <v>647.62999999999988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396" t="s">
        <v>470</v>
      </c>
      <c r="B463" s="7" t="s">
        <v>458</v>
      </c>
      <c r="C463" s="26" t="s">
        <v>19</v>
      </c>
      <c r="D463" s="57"/>
      <c r="E463" s="73"/>
      <c r="F463" s="19" t="e">
        <v>#N/A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68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396" t="s">
        <v>475</v>
      </c>
      <c r="B464" s="7" t="s">
        <v>458</v>
      </c>
      <c r="C464" s="139" t="s">
        <v>48</v>
      </c>
      <c r="D464" s="62" t="s">
        <v>38</v>
      </c>
      <c r="E464" s="63">
        <f>IFERROR(F464/F$448,0)</f>
        <v>0</v>
      </c>
      <c r="F464" s="64" t="e">
        <f>+SUM(F452:F463)</f>
        <v>#N/A</v>
      </c>
      <c r="G464" s="65"/>
      <c r="H464" s="63"/>
      <c r="I464" s="64"/>
      <c r="J464" s="65" t="s">
        <v>38</v>
      </c>
      <c r="K464" s="63">
        <f>IFERROR(L464/L$448,0)</f>
        <v>0.30975473095516232</v>
      </c>
      <c r="L464" s="64">
        <f>+SUM(L452:L463)</f>
        <v>15357.589999999998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68"/>
        <v>15357.589999999998</v>
      </c>
      <c r="T464" s="6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396" t="s">
        <v>476</v>
      </c>
      <c r="B465" s="7" t="s">
        <v>458</v>
      </c>
      <c r="C465" s="329" t="s">
        <v>49</v>
      </c>
      <c r="D465" s="54"/>
      <c r="E465" s="7"/>
      <c r="F465" s="19" t="e">
        <v>#N/A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68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396" t="s">
        <v>477</v>
      </c>
      <c r="B466" s="7" t="s">
        <v>458</v>
      </c>
      <c r="C466" s="271" t="s">
        <v>50</v>
      </c>
      <c r="D466" s="54"/>
      <c r="E466" s="7"/>
      <c r="F466" s="19" t="e">
        <v>#N/A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f t="shared" si="68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396" t="s">
        <v>478</v>
      </c>
      <c r="B467" s="7" t="s">
        <v>458</v>
      </c>
      <c r="C467" s="272" t="s">
        <v>51</v>
      </c>
      <c r="D467" s="57"/>
      <c r="E467" s="73"/>
      <c r="F467" s="31" t="e">
        <v>#N/A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68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396" t="s">
        <v>479</v>
      </c>
      <c r="B468" s="7" t="s">
        <v>458</v>
      </c>
      <c r="C468" s="271" t="s">
        <v>52</v>
      </c>
      <c r="D468" s="54"/>
      <c r="E468" s="7"/>
      <c r="F468" s="19" t="e">
        <v>#N/A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68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396" t="s">
        <v>480</v>
      </c>
      <c r="B469" s="7" t="s">
        <v>458</v>
      </c>
      <c r="C469" s="271" t="s">
        <v>53</v>
      </c>
      <c r="D469" s="54"/>
      <c r="E469" s="7"/>
      <c r="F469" s="19" t="e">
        <v>#N/A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68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396" t="s">
        <v>481</v>
      </c>
      <c r="B470" s="7" t="s">
        <v>458</v>
      </c>
      <c r="C470" s="271" t="s">
        <v>54</v>
      </c>
      <c r="D470" s="57"/>
      <c r="E470" s="73"/>
      <c r="F470" s="31" t="e">
        <v>#N/A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f t="shared" si="68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396" t="s">
        <v>482</v>
      </c>
      <c r="B471" s="7" t="s">
        <v>458</v>
      </c>
      <c r="C471" s="329" t="s">
        <v>55</v>
      </c>
      <c r="D471" s="54"/>
      <c r="E471" s="7"/>
      <c r="F471" s="19" t="e">
        <v>#N/A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68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396" t="s">
        <v>483</v>
      </c>
      <c r="B472" s="7" t="s">
        <v>458</v>
      </c>
      <c r="C472" s="271" t="s">
        <v>56</v>
      </c>
      <c r="D472" s="54"/>
      <c r="E472" s="7"/>
      <c r="F472" s="19" t="e">
        <v>#N/A</v>
      </c>
      <c r="G472" s="56"/>
      <c r="H472" s="7"/>
      <c r="I472" s="19"/>
      <c r="J472" s="26"/>
      <c r="K472" s="7"/>
      <c r="L472" s="39">
        <v>435.59</v>
      </c>
      <c r="M472" s="26"/>
      <c r="N472" s="39"/>
      <c r="O472" s="26"/>
      <c r="P472" s="7"/>
      <c r="Q472" s="39">
        <v>0</v>
      </c>
      <c r="R472" s="26"/>
      <c r="S472" s="39">
        <f t="shared" si="68"/>
        <v>435.59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396" t="s">
        <v>484</v>
      </c>
      <c r="B473" s="7" t="s">
        <v>458</v>
      </c>
      <c r="C473" s="271" t="s">
        <v>57</v>
      </c>
      <c r="D473" s="54"/>
      <c r="E473" s="7"/>
      <c r="F473" s="19" t="e">
        <v>#N/A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68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396" t="s">
        <v>485</v>
      </c>
      <c r="B474" s="7" t="s">
        <v>458</v>
      </c>
      <c r="C474" s="271" t="s">
        <v>58</v>
      </c>
      <c r="D474" s="54"/>
      <c r="E474" s="7"/>
      <c r="F474" s="19" t="e">
        <v>#N/A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68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396" t="s">
        <v>486</v>
      </c>
      <c r="B475" s="7" t="s">
        <v>458</v>
      </c>
      <c r="C475" s="271" t="s">
        <v>59</v>
      </c>
      <c r="D475" s="54"/>
      <c r="E475" s="7"/>
      <c r="F475" s="19" t="e">
        <v>#N/A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68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396" t="s">
        <v>487</v>
      </c>
      <c r="B476" s="7" t="s">
        <v>458</v>
      </c>
      <c r="C476" s="271" t="s">
        <v>60</v>
      </c>
      <c r="D476" s="54"/>
      <c r="E476" s="7"/>
      <c r="F476" s="19" t="e">
        <v>#N/A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f t="shared" si="68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396" t="s">
        <v>488</v>
      </c>
      <c r="B477" s="7" t="s">
        <v>458</v>
      </c>
      <c r="C477" s="271" t="s">
        <v>61</v>
      </c>
      <c r="D477" s="54"/>
      <c r="E477" s="7"/>
      <c r="F477" s="19" t="e">
        <v>#N/A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f t="shared" si="68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396" t="s">
        <v>489</v>
      </c>
      <c r="B478" s="7" t="s">
        <v>458</v>
      </c>
      <c r="C478" s="271" t="s">
        <v>62</v>
      </c>
      <c r="D478" s="54"/>
      <c r="E478" s="7"/>
      <c r="F478" s="19" t="e">
        <v>#N/A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68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396" t="s">
        <v>470</v>
      </c>
      <c r="B479" s="7" t="s">
        <v>458</v>
      </c>
      <c r="C479" s="271" t="s">
        <v>19</v>
      </c>
      <c r="D479" s="54"/>
      <c r="E479" s="7"/>
      <c r="F479" s="19" t="e">
        <v>#N/A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68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396" t="s">
        <v>470</v>
      </c>
      <c r="B480" s="7" t="s">
        <v>458</v>
      </c>
      <c r="C480" s="271" t="s">
        <v>19</v>
      </c>
      <c r="D480" s="54"/>
      <c r="E480" s="7"/>
      <c r="F480" s="19" t="e">
        <v>#N/A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68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396" t="s">
        <v>470</v>
      </c>
      <c r="B481" s="7" t="s">
        <v>458</v>
      </c>
      <c r="C481" s="271" t="s">
        <v>19</v>
      </c>
      <c r="D481" s="57"/>
      <c r="E481" s="73"/>
      <c r="F481" s="19" t="e">
        <v>#N/A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68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396"/>
      <c r="B482" s="7"/>
      <c r="C482" s="139" t="s">
        <v>63</v>
      </c>
      <c r="D482" s="62" t="s">
        <v>38</v>
      </c>
      <c r="E482" s="63">
        <f>IFERROR(F482/F$448,0)</f>
        <v>0</v>
      </c>
      <c r="F482" s="64" t="e">
        <f>+SUM(F465:F481)</f>
        <v>#N/A</v>
      </c>
      <c r="G482" s="65"/>
      <c r="H482" s="63"/>
      <c r="I482" s="64"/>
      <c r="J482" s="65" t="s">
        <v>38</v>
      </c>
      <c r="K482" s="63">
        <f>IFERROR(L482/L$448,0)</f>
        <v>8.7856273840335071E-3</v>
      </c>
      <c r="L482" s="64">
        <f>+SUM(L465:L481)</f>
        <v>435.59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435.59</v>
      </c>
      <c r="T482" s="6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396"/>
      <c r="B484" s="7"/>
      <c r="C484" s="139" t="s">
        <v>64</v>
      </c>
      <c r="D484" s="62" t="s">
        <v>38</v>
      </c>
      <c r="E484" s="63">
        <f>IFERROR(F484/F$448,0)</f>
        <v>0</v>
      </c>
      <c r="F484" s="64" t="e">
        <f>F464+F482</f>
        <v>#N/A</v>
      </c>
      <c r="G484" s="65"/>
      <c r="H484" s="63"/>
      <c r="I484" s="64"/>
      <c r="J484" s="65" t="s">
        <v>38</v>
      </c>
      <c r="K484" s="63">
        <f>IFERROR(L484/L$448,0)</f>
        <v>0.31854035833919581</v>
      </c>
      <c r="L484" s="64">
        <f>L464+L482</f>
        <v>15793.179999999998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15793.179999999998</v>
      </c>
      <c r="T484" s="6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396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33786.660000000011</v>
      </c>
      <c r="M486" s="280"/>
      <c r="N486" s="138"/>
      <c r="O486" s="279"/>
      <c r="P486" s="278"/>
      <c r="Q486" s="138">
        <f>Q448-Q484</f>
        <v>48143.309999999983</v>
      </c>
      <c r="R486" s="281"/>
      <c r="S486" s="138">
        <f>L486-Q486</f>
        <v>-14356.649999999972</v>
      </c>
      <c r="T486" s="6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 t="e">
        <f>F390+F326+F268</f>
        <v>#N/A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6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 t="e">
        <f>F429+F307+F365</f>
        <v>#N/A</v>
      </c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6" t="s">
        <v>490</v>
      </c>
      <c r="F489" s="337"/>
      <c r="L489" s="337"/>
      <c r="V489" s="338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39"/>
      <c r="AF489" s="339" t="s">
        <v>491</v>
      </c>
      <c r="AG489" s="254"/>
      <c r="AH489" s="254"/>
      <c r="AI489" s="254"/>
      <c r="AJ489" s="340"/>
      <c r="AK489" s="252"/>
      <c r="AL489" s="254"/>
      <c r="AM489" s="254"/>
      <c r="AN489" s="254"/>
      <c r="AO489" s="340" t="str">
        <f>$S$1</f>
        <v>Réalisé, Aout 2026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6" t="s">
        <v>490</v>
      </c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396" t="s">
        <v>492</v>
      </c>
      <c r="B491" s="3"/>
      <c r="C491" s="336" t="s">
        <v>490</v>
      </c>
      <c r="V491" s="341"/>
      <c r="W491" s="342"/>
      <c r="X491" s="422" t="s">
        <v>116</v>
      </c>
      <c r="Y491" s="420"/>
      <c r="Z491" s="423"/>
      <c r="AA491" s="419"/>
      <c r="AB491" s="420"/>
      <c r="AC491" s="423"/>
      <c r="AD491" s="419" t="s">
        <v>7</v>
      </c>
      <c r="AE491" s="420"/>
      <c r="AF491" s="423"/>
      <c r="AG491" s="419" t="s">
        <v>210</v>
      </c>
      <c r="AH491" s="420"/>
      <c r="AI491" s="423"/>
      <c r="AJ491" s="419" t="s">
        <v>117</v>
      </c>
      <c r="AK491" s="420"/>
      <c r="AL491" s="420"/>
      <c r="AM491" s="419" t="s">
        <v>118</v>
      </c>
      <c r="AN491" s="420"/>
      <c r="AO491" s="421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396" t="s">
        <v>492</v>
      </c>
      <c r="B492" s="3"/>
      <c r="C492" s="336" t="s">
        <v>490</v>
      </c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396" t="s">
        <v>14</v>
      </c>
      <c r="B493" s="3"/>
      <c r="C493" s="336" t="s">
        <v>490</v>
      </c>
      <c r="V493" s="272" t="s">
        <v>14</v>
      </c>
      <c r="W493" s="145"/>
      <c r="X493" s="145"/>
      <c r="Y493" s="145"/>
      <c r="Z493" s="146" t="e">
        <f>F5+F93+E268+E326+D390+#REF!</f>
        <v>#N/A</v>
      </c>
      <c r="AA493" s="145"/>
      <c r="AB493" s="145"/>
      <c r="AC493" s="146"/>
      <c r="AD493" s="147"/>
      <c r="AE493" s="148"/>
      <c r="AF493" s="146">
        <f>L5+L93+L173+K268+K326+J390+K448</f>
        <v>13948793.349999994</v>
      </c>
      <c r="AG493" s="147"/>
      <c r="AH493" s="148"/>
      <c r="AI493" s="149"/>
      <c r="AJ493" s="147"/>
      <c r="AK493" s="148"/>
      <c r="AL493" s="146">
        <f>Q5+Q93+Q173+P268+P326+O390+P448</f>
        <v>18784029.239999991</v>
      </c>
      <c r="AM493" s="150"/>
      <c r="AN493" s="148"/>
      <c r="AO493" s="343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396" t="s">
        <v>126</v>
      </c>
      <c r="B494" s="3"/>
      <c r="C494" s="336" t="s">
        <v>490</v>
      </c>
      <c r="V494" s="344" t="s">
        <v>126</v>
      </c>
      <c r="W494" s="151"/>
      <c r="X494" s="345" t="e">
        <f>Z494/Z493</f>
        <v>#N/A</v>
      </c>
      <c r="Y494" s="151"/>
      <c r="Z494" s="152" t="e">
        <f>F27+F109+F268+F326+F390+#REF!</f>
        <v>#N/A</v>
      </c>
      <c r="AA494" s="151"/>
      <c r="AB494" s="151"/>
      <c r="AC494" s="152"/>
      <c r="AD494" s="345">
        <f>AF494/AF493</f>
        <v>3.3749383777342809E-2</v>
      </c>
      <c r="AE494" s="154"/>
      <c r="AF494" s="152">
        <f>L27+L109+L182+L268+L326+L390+L448</f>
        <v>470763.17999999708</v>
      </c>
      <c r="AG494" s="153"/>
      <c r="AH494" s="154" t="e">
        <f>AF494-Z494</f>
        <v>#N/A</v>
      </c>
      <c r="AI494" s="155" t="e">
        <f>AH494/Z494</f>
        <v>#N/A</v>
      </c>
      <c r="AJ494" s="345">
        <f>AL494/AL493</f>
        <v>4.2011977298220475E-2</v>
      </c>
      <c r="AK494" s="154"/>
      <c r="AL494" s="152">
        <f>Q27+Q109+Q182+Q268+Q326+Q390+Q448</f>
        <v>789154.20999998925</v>
      </c>
      <c r="AM494" s="156"/>
      <c r="AN494" s="154">
        <f>AF494-AL494</f>
        <v>-318391.02999999217</v>
      </c>
      <c r="AO494" s="346">
        <f>IF(AL494=0,0,AN494/AL494)</f>
        <v>-0.40345857117076839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396" t="s">
        <v>127</v>
      </c>
      <c r="B495" s="3"/>
      <c r="C495" s="336" t="s">
        <v>490</v>
      </c>
      <c r="V495" s="347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8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396" t="s">
        <v>30</v>
      </c>
      <c r="B496" s="3"/>
      <c r="C496" s="336" t="s">
        <v>490</v>
      </c>
      <c r="V496" s="271" t="s">
        <v>30</v>
      </c>
      <c r="W496" s="163" t="s">
        <v>128</v>
      </c>
      <c r="X496" s="157"/>
      <c r="Y496" s="164" t="e">
        <f t="shared" ref="Y496:Y505" si="69">Z496/(D$13+D$97)</f>
        <v>#N/A</v>
      </c>
      <c r="Z496" s="158" t="e">
        <f t="shared" ref="Z496:Z502" si="70">+SUMIF($C:$C,$V496,F:F)</f>
        <v>#N/A</v>
      </c>
      <c r="AA496" s="157"/>
      <c r="AB496" s="164"/>
      <c r="AC496" s="158"/>
      <c r="AD496" s="165"/>
      <c r="AE496" s="160">
        <f>IF(AF496=0,0,AF496/(J$13+J$97))</f>
        <v>716.76233766233702</v>
      </c>
      <c r="AF496" s="158">
        <f t="shared" ref="AF496:AF502" si="71">+SUMIF($C:$C,$V496,L:L)</f>
        <v>55190.699999999953</v>
      </c>
      <c r="AG496" s="159" t="e">
        <f t="shared" ref="AG496:AH511" si="72">AE496-Y496</f>
        <v>#N/A</v>
      </c>
      <c r="AH496" s="160" t="e">
        <f t="shared" si="72"/>
        <v>#N/A</v>
      </c>
      <c r="AI496" s="161" t="e">
        <f t="shared" ref="AI496:AI505" si="73">IF(Z496=0,0,AH496/Z496)</f>
        <v>#N/A</v>
      </c>
      <c r="AJ496" s="165"/>
      <c r="AK496" s="160">
        <f>IF(AL496=0,0,AL496/(O$13+O$97))</f>
        <v>1126.4604166666668</v>
      </c>
      <c r="AL496" s="158">
        <v>108140.20000000001</v>
      </c>
      <c r="AM496" s="162">
        <f>AE496-AK496</f>
        <v>-409.69807900432977</v>
      </c>
      <c r="AN496" s="160">
        <f>AF496-AL496</f>
        <v>-52949.500000000058</v>
      </c>
      <c r="AO496" s="349">
        <f>IF(AL496=0,0,AN496/AL496)</f>
        <v>-0.48963752610037758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396" t="s">
        <v>31</v>
      </c>
      <c r="B497" s="3"/>
      <c r="C497" s="336" t="s">
        <v>490</v>
      </c>
      <c r="V497" s="272" t="s">
        <v>31</v>
      </c>
      <c r="W497" s="166" t="s">
        <v>129</v>
      </c>
      <c r="X497" s="145"/>
      <c r="Y497" s="167" t="e">
        <f t="shared" si="69"/>
        <v>#N/A</v>
      </c>
      <c r="Z497" s="146" t="e">
        <f t="shared" si="70"/>
        <v>#N/A</v>
      </c>
      <c r="AA497" s="145"/>
      <c r="AB497" s="167"/>
      <c r="AC497" s="146"/>
      <c r="AD497" s="168"/>
      <c r="AE497" s="148">
        <f t="shared" ref="AE497:AE504" si="74">IF(AF497=0,0,AF497/(J$13+J$97))</f>
        <v>192.46519480519481</v>
      </c>
      <c r="AF497" s="146">
        <f t="shared" si="71"/>
        <v>14819.82</v>
      </c>
      <c r="AG497" s="147" t="e">
        <f t="shared" si="72"/>
        <v>#N/A</v>
      </c>
      <c r="AH497" s="148" t="e">
        <f t="shared" si="72"/>
        <v>#N/A</v>
      </c>
      <c r="AI497" s="169" t="e">
        <f t="shared" si="73"/>
        <v>#N/A</v>
      </c>
      <c r="AJ497" s="168"/>
      <c r="AK497" s="148">
        <f t="shared" ref="AK497:AK504" si="75">IF(AL497=0,0,AL497/(O$13+O$97))</f>
        <v>219.16677083333323</v>
      </c>
      <c r="AL497" s="146">
        <v>21040.009999999991</v>
      </c>
      <c r="AM497" s="350">
        <f t="shared" ref="AM497:AN512" si="76">AE497-AK497</f>
        <v>-26.701576028138419</v>
      </c>
      <c r="AN497" s="148">
        <f t="shared" si="76"/>
        <v>-6220.1899999999914</v>
      </c>
      <c r="AO497" s="343">
        <f t="shared" ref="AO497:AO553" si="77">IF(AL497=0,0,AN497/AL497)</f>
        <v>-0.29563626633257273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396" t="s">
        <v>32</v>
      </c>
      <c r="B498" s="3"/>
      <c r="C498" s="336" t="s">
        <v>490</v>
      </c>
      <c r="V498" s="271" t="s">
        <v>32</v>
      </c>
      <c r="W498" s="163" t="s">
        <v>130</v>
      </c>
      <c r="X498" s="157"/>
      <c r="Y498" s="164" t="e">
        <f t="shared" si="69"/>
        <v>#N/A</v>
      </c>
      <c r="Z498" s="158" t="e">
        <f t="shared" si="70"/>
        <v>#N/A</v>
      </c>
      <c r="AA498" s="157"/>
      <c r="AB498" s="164"/>
      <c r="AC498" s="158"/>
      <c r="AD498" s="165"/>
      <c r="AE498" s="160">
        <f t="shared" si="74"/>
        <v>-33.525194805194552</v>
      </c>
      <c r="AF498" s="158">
        <f t="shared" si="71"/>
        <v>-2581.4399999999805</v>
      </c>
      <c r="AG498" s="159" t="e">
        <f t="shared" si="72"/>
        <v>#N/A</v>
      </c>
      <c r="AH498" s="160" t="e">
        <f t="shared" si="72"/>
        <v>#N/A</v>
      </c>
      <c r="AI498" s="161" t="e">
        <f t="shared" si="73"/>
        <v>#N/A</v>
      </c>
      <c r="AJ498" s="165"/>
      <c r="AK498" s="160">
        <f t="shared" si="75"/>
        <v>-239.12885416666668</v>
      </c>
      <c r="AL498" s="158">
        <v>-22956.370000000003</v>
      </c>
      <c r="AM498" s="162">
        <f t="shared" si="76"/>
        <v>205.60365936147213</v>
      </c>
      <c r="AN498" s="160">
        <f t="shared" si="76"/>
        <v>20374.930000000022</v>
      </c>
      <c r="AO498" s="349">
        <f t="shared" si="77"/>
        <v>-0.88755016581454382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396" t="s">
        <v>33</v>
      </c>
      <c r="B499" s="3"/>
      <c r="C499" s="336" t="s">
        <v>490</v>
      </c>
      <c r="V499" s="271" t="s">
        <v>33</v>
      </c>
      <c r="W499" s="163" t="s">
        <v>131</v>
      </c>
      <c r="X499" s="157"/>
      <c r="Y499" s="164" t="e">
        <f t="shared" si="69"/>
        <v>#N/A</v>
      </c>
      <c r="Z499" s="158" t="e">
        <f t="shared" si="70"/>
        <v>#N/A</v>
      </c>
      <c r="AA499" s="157"/>
      <c r="AB499" s="164"/>
      <c r="AC499" s="158"/>
      <c r="AD499" s="165"/>
      <c r="AE499" s="160">
        <f t="shared" si="74"/>
        <v>13.183116883116888</v>
      </c>
      <c r="AF499" s="158">
        <f t="shared" si="71"/>
        <v>1015.1000000000004</v>
      </c>
      <c r="AG499" s="159" t="e">
        <f t="shared" si="72"/>
        <v>#N/A</v>
      </c>
      <c r="AH499" s="160" t="e">
        <f t="shared" si="72"/>
        <v>#N/A</v>
      </c>
      <c r="AI499" s="161" t="e">
        <f t="shared" si="73"/>
        <v>#N/A</v>
      </c>
      <c r="AJ499" s="165"/>
      <c r="AK499" s="160">
        <f t="shared" si="75"/>
        <v>8.9744791666666632</v>
      </c>
      <c r="AL499" s="158">
        <v>861.54999999999973</v>
      </c>
      <c r="AM499" s="162">
        <f t="shared" si="76"/>
        <v>4.2086377164502249</v>
      </c>
      <c r="AN499" s="160">
        <f t="shared" si="76"/>
        <v>153.55000000000064</v>
      </c>
      <c r="AO499" s="349">
        <f t="shared" si="77"/>
        <v>0.17822529162555939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396" t="s">
        <v>34</v>
      </c>
      <c r="B500" s="3"/>
      <c r="C500" s="336" t="s">
        <v>490</v>
      </c>
      <c r="V500" s="272" t="s">
        <v>34</v>
      </c>
      <c r="W500" s="166"/>
      <c r="X500" s="145"/>
      <c r="Y500" s="167" t="e">
        <f t="shared" si="69"/>
        <v>#N/A</v>
      </c>
      <c r="Z500" s="146" t="e">
        <f t="shared" si="70"/>
        <v>#N/A</v>
      </c>
      <c r="AA500" s="145"/>
      <c r="AB500" s="167"/>
      <c r="AC500" s="146"/>
      <c r="AD500" s="168"/>
      <c r="AE500" s="148">
        <f t="shared" si="74"/>
        <v>39.219220779220784</v>
      </c>
      <c r="AF500" s="146">
        <f t="shared" si="71"/>
        <v>3019.88</v>
      </c>
      <c r="AG500" s="147" t="e">
        <f t="shared" si="72"/>
        <v>#N/A</v>
      </c>
      <c r="AH500" s="148" t="e">
        <f t="shared" si="72"/>
        <v>#N/A</v>
      </c>
      <c r="AI500" s="169" t="e">
        <f t="shared" si="73"/>
        <v>#N/A</v>
      </c>
      <c r="AJ500" s="168"/>
      <c r="AK500" s="148">
        <f t="shared" si="75"/>
        <v>0</v>
      </c>
      <c r="AL500" s="146">
        <v>0</v>
      </c>
      <c r="AM500" s="350">
        <f t="shared" si="76"/>
        <v>39.219220779220784</v>
      </c>
      <c r="AN500" s="148">
        <f t="shared" si="76"/>
        <v>3019.88</v>
      </c>
      <c r="AO500" s="343">
        <f t="shared" si="7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396" t="s">
        <v>35</v>
      </c>
      <c r="B501" s="3"/>
      <c r="C501" s="336" t="s">
        <v>490</v>
      </c>
      <c r="V501" s="271" t="s">
        <v>35</v>
      </c>
      <c r="W501" s="163" t="s">
        <v>132</v>
      </c>
      <c r="X501" s="161"/>
      <c r="Y501" s="164" t="e">
        <f t="shared" si="69"/>
        <v>#N/A</v>
      </c>
      <c r="Z501" s="158" t="e">
        <f t="shared" si="70"/>
        <v>#N/A</v>
      </c>
      <c r="AA501" s="161"/>
      <c r="AB501" s="164"/>
      <c r="AC501" s="158"/>
      <c r="AD501" s="165"/>
      <c r="AE501" s="160">
        <f t="shared" si="74"/>
        <v>236.01883116883121</v>
      </c>
      <c r="AF501" s="158">
        <f t="shared" si="71"/>
        <v>18173.450000000004</v>
      </c>
      <c r="AG501" s="159" t="e">
        <f t="shared" si="72"/>
        <v>#N/A</v>
      </c>
      <c r="AH501" s="160" t="e">
        <f t="shared" si="72"/>
        <v>#N/A</v>
      </c>
      <c r="AI501" s="161" t="e">
        <f t="shared" si="73"/>
        <v>#N/A</v>
      </c>
      <c r="AJ501" s="165"/>
      <c r="AK501" s="160">
        <f t="shared" si="75"/>
        <v>188.70770833333339</v>
      </c>
      <c r="AL501" s="158">
        <v>18115.940000000006</v>
      </c>
      <c r="AM501" s="162">
        <f t="shared" si="76"/>
        <v>47.311122835497827</v>
      </c>
      <c r="AN501" s="160">
        <f t="shared" si="76"/>
        <v>57.509999999998399</v>
      </c>
      <c r="AO501" s="349">
        <f t="shared" si="77"/>
        <v>3.1745523555497743E-3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396" t="s">
        <v>36</v>
      </c>
      <c r="B502" s="3"/>
      <c r="C502" s="336" t="s">
        <v>490</v>
      </c>
      <c r="V502" s="271" t="s">
        <v>36</v>
      </c>
      <c r="W502" s="163" t="s">
        <v>133</v>
      </c>
      <c r="X502" s="157"/>
      <c r="Y502" s="164" t="e">
        <f t="shared" si="69"/>
        <v>#N/A</v>
      </c>
      <c r="Z502" s="158" t="e">
        <f t="shared" si="70"/>
        <v>#N/A</v>
      </c>
      <c r="AA502" s="157"/>
      <c r="AB502" s="164"/>
      <c r="AC502" s="158"/>
      <c r="AD502" s="165"/>
      <c r="AE502" s="160">
        <f t="shared" si="74"/>
        <v>569.52792207792277</v>
      </c>
      <c r="AF502" s="158">
        <f t="shared" si="71"/>
        <v>43853.650000000052</v>
      </c>
      <c r="AG502" s="159" t="e">
        <f t="shared" si="72"/>
        <v>#N/A</v>
      </c>
      <c r="AH502" s="160" t="e">
        <f t="shared" si="72"/>
        <v>#N/A</v>
      </c>
      <c r="AI502" s="161" t="e">
        <f t="shared" si="73"/>
        <v>#N/A</v>
      </c>
      <c r="AJ502" s="165"/>
      <c r="AK502" s="160">
        <f t="shared" si="75"/>
        <v>1012.6367708333333</v>
      </c>
      <c r="AL502" s="158">
        <v>97213.13</v>
      </c>
      <c r="AM502" s="162">
        <f t="shared" si="76"/>
        <v>-443.10884875541058</v>
      </c>
      <c r="AN502" s="160">
        <f t="shared" si="76"/>
        <v>-53359.479999999952</v>
      </c>
      <c r="AO502" s="349">
        <f t="shared" si="77"/>
        <v>-0.54889169806588833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396" t="s">
        <v>19</v>
      </c>
      <c r="B503" s="3"/>
      <c r="C503" s="336" t="s">
        <v>490</v>
      </c>
      <c r="V503" s="271" t="s">
        <v>302</v>
      </c>
      <c r="W503" s="163"/>
      <c r="X503" s="161"/>
      <c r="Y503" s="164" t="e">
        <f t="shared" si="69"/>
        <v>#N/A</v>
      </c>
      <c r="Z503" s="158">
        <f>IFERROR(SUMIF($C:$C,$V503,F:F),0)</f>
        <v>0</v>
      </c>
      <c r="AA503" s="157"/>
      <c r="AB503" s="164"/>
      <c r="AC503" s="158"/>
      <c r="AD503" s="165"/>
      <c r="AE503" s="160">
        <f>IF(AF503=0,0,AF503/(J$13+J$97))</f>
        <v>-859.56805194805179</v>
      </c>
      <c r="AF503" s="158">
        <f>IFERROR(SUMIF($C:$C,$V503,L:L),0)</f>
        <v>-66186.739999999991</v>
      </c>
      <c r="AG503" s="159" t="e">
        <f t="shared" si="72"/>
        <v>#N/A</v>
      </c>
      <c r="AH503" s="160">
        <f t="shared" si="72"/>
        <v>-66186.739999999991</v>
      </c>
      <c r="AI503" s="161">
        <f t="shared" si="73"/>
        <v>0</v>
      </c>
      <c r="AJ503" s="165"/>
      <c r="AK503" s="160">
        <f t="shared" si="75"/>
        <v>-1120.4801041666651</v>
      </c>
      <c r="AL503" s="158">
        <v>-107566.08999999985</v>
      </c>
      <c r="AM503" s="162">
        <f>AE503-AK503</f>
        <v>260.91205221861333</v>
      </c>
      <c r="AN503" s="160">
        <f t="shared" si="76"/>
        <v>41379.34999999986</v>
      </c>
      <c r="AO503" s="349">
        <f t="shared" si="77"/>
        <v>-0.38468768363710087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396" t="s">
        <v>19</v>
      </c>
      <c r="B504" s="3"/>
      <c r="C504" s="336" t="s">
        <v>490</v>
      </c>
      <c r="V504" s="271" t="s">
        <v>303</v>
      </c>
      <c r="W504" s="163"/>
      <c r="X504" s="161"/>
      <c r="Y504" s="164" t="e">
        <f t="shared" si="69"/>
        <v>#N/A</v>
      </c>
      <c r="Z504" s="158">
        <f>IFERROR(SUMIF($C:$C,$V504,F:F),0)</f>
        <v>0</v>
      </c>
      <c r="AA504" s="157"/>
      <c r="AB504" s="164"/>
      <c r="AC504" s="158"/>
      <c r="AD504" s="165"/>
      <c r="AE504" s="160">
        <f t="shared" si="74"/>
        <v>-179.88662337662345</v>
      </c>
      <c r="AF504" s="158">
        <f>IFERROR(SUMIF($C:$C,$V504,L:L),0)</f>
        <v>-13851.270000000006</v>
      </c>
      <c r="AG504" s="159" t="e">
        <f t="shared" si="72"/>
        <v>#N/A</v>
      </c>
      <c r="AH504" s="160">
        <f t="shared" si="72"/>
        <v>-13851.270000000006</v>
      </c>
      <c r="AI504" s="161">
        <f t="shared" si="73"/>
        <v>0</v>
      </c>
      <c r="AJ504" s="165"/>
      <c r="AK504" s="160">
        <f t="shared" si="75"/>
        <v>0</v>
      </c>
      <c r="AL504" s="158">
        <v>0</v>
      </c>
      <c r="AM504" s="162">
        <f t="shared" si="76"/>
        <v>-179.88662337662345</v>
      </c>
      <c r="AN504" s="160">
        <f t="shared" si="76"/>
        <v>-13851.270000000006</v>
      </c>
      <c r="AO504" s="349">
        <f t="shared" si="7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396" t="s">
        <v>19</v>
      </c>
      <c r="B505" s="3"/>
      <c r="C505" s="336" t="s">
        <v>490</v>
      </c>
      <c r="V505" s="271" t="s">
        <v>19</v>
      </c>
      <c r="W505" s="163" t="s">
        <v>133</v>
      </c>
      <c r="X505" s="157"/>
      <c r="Y505" s="164" t="e">
        <f t="shared" si="69"/>
        <v>#N/A</v>
      </c>
      <c r="Z505" s="158">
        <f>IFERROR(SUMIF($C:$C,$V505,F:F),0)</f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>IFERROR(SUMIF($C:$C,$V505,L:L),0)</f>
        <v>0</v>
      </c>
      <c r="AG505" s="159" t="e">
        <f t="shared" si="72"/>
        <v>#N/A</v>
      </c>
      <c r="AH505" s="160">
        <f t="shared" si="72"/>
        <v>0</v>
      </c>
      <c r="AI505" s="161">
        <f t="shared" si="73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 t="shared" ref="AM505" si="78">AE505-Y505</f>
        <v>#N/A</v>
      </c>
      <c r="AN505" s="160">
        <f t="shared" si="76"/>
        <v>0</v>
      </c>
      <c r="AO505" s="349">
        <f t="shared" si="7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396" t="s">
        <v>37</v>
      </c>
      <c r="B506" s="3"/>
      <c r="C506" s="336" t="s">
        <v>490</v>
      </c>
      <c r="V506" s="351" t="s">
        <v>37</v>
      </c>
      <c r="W506" s="170"/>
      <c r="X506" s="171" t="e">
        <f>Z506/Z494</f>
        <v>#N/A</v>
      </c>
      <c r="Y506" s="170"/>
      <c r="Z506" s="172" t="e">
        <f>SUM(Z496:Z505)</f>
        <v>#N/A</v>
      </c>
      <c r="AA506" s="171"/>
      <c r="AB506" s="170"/>
      <c r="AC506" s="172"/>
      <c r="AD506" s="173">
        <f>AF506/AF494</f>
        <v>0.11354573227243557</v>
      </c>
      <c r="AE506" s="175"/>
      <c r="AF506" s="172">
        <f>SUM(AF496:AF505)</f>
        <v>53453.150000000067</v>
      </c>
      <c r="AG506" s="174"/>
      <c r="AH506" s="175" t="e">
        <f t="shared" si="72"/>
        <v>#N/A</v>
      </c>
      <c r="AI506" s="171" t="e">
        <f>AH506/Z506</f>
        <v>#N/A</v>
      </c>
      <c r="AJ506" s="173">
        <f>AL506/AL494</f>
        <v>0.14553349465119336</v>
      </c>
      <c r="AK506" s="175"/>
      <c r="AL506" s="172">
        <f>SUM(AL496:AL505)</f>
        <v>114848.37000000017</v>
      </c>
      <c r="AM506" s="180"/>
      <c r="AN506" s="175">
        <f t="shared" si="76"/>
        <v>-61395.220000000103</v>
      </c>
      <c r="AO506" s="346">
        <f t="shared" si="77"/>
        <v>-0.53457632877157957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396" t="s">
        <v>134</v>
      </c>
      <c r="B507" s="3"/>
      <c r="C507" s="336" t="s">
        <v>490</v>
      </c>
      <c r="V507" s="271" t="s">
        <v>134</v>
      </c>
      <c r="W507" s="163" t="s">
        <v>135</v>
      </c>
      <c r="X507" s="157"/>
      <c r="Y507" s="157"/>
      <c r="Z507" s="158" t="e">
        <v>#N/A</v>
      </c>
      <c r="AA507" s="157"/>
      <c r="AB507" s="157"/>
      <c r="AC507" s="158"/>
      <c r="AD507" s="165"/>
      <c r="AE507" s="164"/>
      <c r="AF507" s="158">
        <v>13557.709999999997</v>
      </c>
      <c r="AG507" s="159"/>
      <c r="AH507" s="160" t="e">
        <f t="shared" si="72"/>
        <v>#N/A</v>
      </c>
      <c r="AI507" s="161" t="e">
        <f t="shared" ref="AI507:AI519" si="79">IF(Z507=0,0,AH507/Z507)</f>
        <v>#N/A</v>
      </c>
      <c r="AJ507" s="165"/>
      <c r="AK507" s="164"/>
      <c r="AL507" s="158">
        <v>8472.9800000000141</v>
      </c>
      <c r="AM507" s="162"/>
      <c r="AN507" s="160">
        <f t="shared" si="76"/>
        <v>5084.7299999999832</v>
      </c>
      <c r="AO507" s="349">
        <f t="shared" si="77"/>
        <v>0.60011117694128568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396" t="s">
        <v>40</v>
      </c>
      <c r="B508" s="3"/>
      <c r="C508" s="336" t="s">
        <v>490</v>
      </c>
      <c r="V508" s="271" t="s">
        <v>40</v>
      </c>
      <c r="W508" s="163" t="s">
        <v>136</v>
      </c>
      <c r="X508" s="157"/>
      <c r="Y508" s="157"/>
      <c r="Z508" s="158" t="e">
        <f t="shared" ref="Z508:Z518" si="80">+SUMIF($C:$C,$V508,F:F)</f>
        <v>#N/A</v>
      </c>
      <c r="AA508" s="157"/>
      <c r="AB508" s="157"/>
      <c r="AC508" s="158"/>
      <c r="AD508" s="165"/>
      <c r="AE508" s="164"/>
      <c r="AF508" s="158">
        <f>+SUMIF($C:$C,$V508,L:L)</f>
        <v>32819.069999999992</v>
      </c>
      <c r="AG508" s="159"/>
      <c r="AH508" s="160" t="e">
        <f t="shared" si="72"/>
        <v>#N/A</v>
      </c>
      <c r="AI508" s="161" t="e">
        <f t="shared" si="79"/>
        <v>#N/A</v>
      </c>
      <c r="AJ508" s="165"/>
      <c r="AK508" s="164"/>
      <c r="AL508" s="158">
        <v>69414.170000000042</v>
      </c>
      <c r="AM508" s="162"/>
      <c r="AN508" s="160">
        <f t="shared" si="76"/>
        <v>-36595.100000000049</v>
      </c>
      <c r="AO508" s="349">
        <f t="shared" si="77"/>
        <v>-0.52719927357771512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396" t="s">
        <v>41</v>
      </c>
      <c r="B509" s="3"/>
      <c r="C509" s="336" t="s">
        <v>490</v>
      </c>
      <c r="V509" s="272" t="s">
        <v>41</v>
      </c>
      <c r="W509" s="166" t="s">
        <v>137</v>
      </c>
      <c r="X509" s="145"/>
      <c r="Y509" s="145"/>
      <c r="Z509" s="146" t="e">
        <f t="shared" si="80"/>
        <v>#N/A</v>
      </c>
      <c r="AA509" s="145"/>
      <c r="AB509" s="145"/>
      <c r="AC509" s="146"/>
      <c r="AD509" s="168"/>
      <c r="AE509" s="167"/>
      <c r="AF509" s="146">
        <f>+SUMIF($C:$C,$V509,L:L)</f>
        <v>25274.689999999988</v>
      </c>
      <c r="AG509" s="147"/>
      <c r="AH509" s="148" t="e">
        <f t="shared" si="72"/>
        <v>#N/A</v>
      </c>
      <c r="AI509" s="169" t="e">
        <f t="shared" si="79"/>
        <v>#N/A</v>
      </c>
      <c r="AJ509" s="168"/>
      <c r="AK509" s="167"/>
      <c r="AL509" s="146">
        <v>74596.130000000048</v>
      </c>
      <c r="AM509" s="150"/>
      <c r="AN509" s="148">
        <f t="shared" si="76"/>
        <v>-49321.440000000061</v>
      </c>
      <c r="AO509" s="343">
        <f t="shared" si="77"/>
        <v>-0.66117960811103782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396" t="s">
        <v>42</v>
      </c>
      <c r="B510" s="3"/>
      <c r="C510" s="336" t="s">
        <v>490</v>
      </c>
      <c r="V510" s="271" t="s">
        <v>42</v>
      </c>
      <c r="W510" s="163" t="s">
        <v>138</v>
      </c>
      <c r="X510" s="157"/>
      <c r="Y510" s="157"/>
      <c r="Z510" s="158" t="e">
        <f t="shared" si="80"/>
        <v>#N/A</v>
      </c>
      <c r="AA510" s="157"/>
      <c r="AB510" s="157"/>
      <c r="AC510" s="158"/>
      <c r="AD510" s="165"/>
      <c r="AE510" s="164"/>
      <c r="AF510" s="158">
        <f>+SUMIF($C:$C,$V510,L:L)</f>
        <v>33828.989999999991</v>
      </c>
      <c r="AG510" s="159"/>
      <c r="AH510" s="160" t="e">
        <f t="shared" si="72"/>
        <v>#N/A</v>
      </c>
      <c r="AI510" s="161" t="e">
        <f t="shared" si="79"/>
        <v>#N/A</v>
      </c>
      <c r="AJ510" s="165"/>
      <c r="AK510" s="164"/>
      <c r="AL510" s="158">
        <v>90767.849999999962</v>
      </c>
      <c r="AM510" s="162"/>
      <c r="AN510" s="160">
        <f t="shared" si="76"/>
        <v>-56938.859999999971</v>
      </c>
      <c r="AO510" s="349">
        <f t="shared" si="77"/>
        <v>-0.62730206785772713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396" t="s">
        <v>43</v>
      </c>
      <c r="B511" s="3"/>
      <c r="C511" s="336" t="s">
        <v>490</v>
      </c>
      <c r="V511" s="271" t="s">
        <v>43</v>
      </c>
      <c r="W511" s="163" t="s">
        <v>139</v>
      </c>
      <c r="X511" s="157"/>
      <c r="Y511" s="157"/>
      <c r="Z511" s="158" t="e">
        <f t="shared" si="80"/>
        <v>#N/A</v>
      </c>
      <c r="AA511" s="157"/>
      <c r="AB511" s="157"/>
      <c r="AC511" s="158"/>
      <c r="AD511" s="165"/>
      <c r="AE511" s="164"/>
      <c r="AF511" s="158">
        <f>+SUMIF($C:$C,$V511,L:L)</f>
        <v>9149.14</v>
      </c>
      <c r="AG511" s="159"/>
      <c r="AH511" s="160" t="e">
        <f t="shared" si="72"/>
        <v>#N/A</v>
      </c>
      <c r="AI511" s="161" t="e">
        <f t="shared" si="79"/>
        <v>#N/A</v>
      </c>
      <c r="AJ511" s="165"/>
      <c r="AK511" s="164"/>
      <c r="AL511" s="158">
        <v>0</v>
      </c>
      <c r="AM511" s="162"/>
      <c r="AN511" s="160">
        <f t="shared" si="76"/>
        <v>9149.14</v>
      </c>
      <c r="AO511" s="349">
        <f t="shared" si="7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396" t="s">
        <v>19</v>
      </c>
      <c r="B512" s="3"/>
      <c r="C512" s="336" t="s">
        <v>490</v>
      </c>
      <c r="V512" s="271" t="s">
        <v>19</v>
      </c>
      <c r="W512" s="163"/>
      <c r="X512" s="157"/>
      <c r="Y512" s="157"/>
      <c r="Z512" s="158" t="e">
        <f t="shared" si="80"/>
        <v>#N/A</v>
      </c>
      <c r="AA512" s="157"/>
      <c r="AB512" s="157"/>
      <c r="AC512" s="158"/>
      <c r="AD512" s="165"/>
      <c r="AE512" s="164"/>
      <c r="AF512" s="158">
        <f>IFERROR(SUMIF($C:$C,$V512,L:L),0)</f>
        <v>0</v>
      </c>
      <c r="AG512" s="159"/>
      <c r="AH512" s="160" t="e">
        <f t="shared" ref="AH512:AH538" si="81">AF512-Z512</f>
        <v>#N/A</v>
      </c>
      <c r="AI512" s="161" t="e">
        <f t="shared" si="79"/>
        <v>#N/A</v>
      </c>
      <c r="AJ512" s="165"/>
      <c r="AK512" s="164"/>
      <c r="AL512" s="158">
        <v>0</v>
      </c>
      <c r="AM512" s="162"/>
      <c r="AN512" s="160">
        <f t="shared" si="76"/>
        <v>0</v>
      </c>
      <c r="AO512" s="349">
        <f t="shared" si="7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396" t="s">
        <v>19</v>
      </c>
      <c r="B513" s="3"/>
      <c r="C513" s="336" t="s">
        <v>490</v>
      </c>
      <c r="V513" s="271" t="s">
        <v>19</v>
      </c>
      <c r="W513" s="163"/>
      <c r="X513" s="157"/>
      <c r="Y513" s="157"/>
      <c r="Z513" s="158" t="e">
        <f t="shared" si="80"/>
        <v>#N/A</v>
      </c>
      <c r="AA513" s="157"/>
      <c r="AB513" s="157"/>
      <c r="AC513" s="158"/>
      <c r="AD513" s="165"/>
      <c r="AE513" s="164"/>
      <c r="AF513" s="158">
        <f>IFERROR(SUMIF($C:$C,$V513,L:L),0)</f>
        <v>0</v>
      </c>
      <c r="AG513" s="159"/>
      <c r="AH513" s="160" t="e">
        <f t="shared" si="81"/>
        <v>#N/A</v>
      </c>
      <c r="AI513" s="161" t="e">
        <f t="shared" si="79"/>
        <v>#N/A</v>
      </c>
      <c r="AJ513" s="165"/>
      <c r="AK513" s="164"/>
      <c r="AL513" s="158">
        <v>0</v>
      </c>
      <c r="AM513" s="162"/>
      <c r="AN513" s="160">
        <f t="shared" ref="AN513:AN553" si="82">AF513-AL513</f>
        <v>0</v>
      </c>
      <c r="AO513" s="349">
        <f t="shared" si="7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396" t="s">
        <v>19</v>
      </c>
      <c r="B514" s="3"/>
      <c r="C514" s="336" t="s">
        <v>490</v>
      </c>
      <c r="V514" s="271" t="s">
        <v>19</v>
      </c>
      <c r="W514" s="163"/>
      <c r="X514" s="157"/>
      <c r="Y514" s="157"/>
      <c r="Z514" s="158" t="e">
        <f t="shared" si="80"/>
        <v>#N/A</v>
      </c>
      <c r="AA514" s="157"/>
      <c r="AB514" s="157"/>
      <c r="AC514" s="158"/>
      <c r="AD514" s="165"/>
      <c r="AE514" s="164"/>
      <c r="AF514" s="158">
        <f>IFERROR(SUMIF($C:$C,$V514,L:L),0)</f>
        <v>0</v>
      </c>
      <c r="AG514" s="159"/>
      <c r="AH514" s="160" t="e">
        <f t="shared" si="81"/>
        <v>#N/A</v>
      </c>
      <c r="AI514" s="161" t="e">
        <f t="shared" si="79"/>
        <v>#N/A</v>
      </c>
      <c r="AJ514" s="165"/>
      <c r="AK514" s="164"/>
      <c r="AL514" s="158">
        <v>0</v>
      </c>
      <c r="AM514" s="162"/>
      <c r="AN514" s="160">
        <f t="shared" si="82"/>
        <v>0</v>
      </c>
      <c r="AO514" s="349">
        <f t="shared" si="7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396" t="s">
        <v>44</v>
      </c>
      <c r="B515" s="3"/>
      <c r="C515" s="336" t="s">
        <v>490</v>
      </c>
      <c r="V515" s="272" t="s">
        <v>44</v>
      </c>
      <c r="W515" s="166" t="s">
        <v>140</v>
      </c>
      <c r="X515" s="145"/>
      <c r="Y515" s="352" t="e">
        <f>Z515/(SUM(Z507:Z511)+E268-F268+Z496+Z497)</f>
        <v>#N/A</v>
      </c>
      <c r="Z515" s="146" t="e">
        <f t="shared" si="80"/>
        <v>#N/A</v>
      </c>
      <c r="AA515" s="145"/>
      <c r="AB515" s="145"/>
      <c r="AC515" s="146"/>
      <c r="AD515" s="168"/>
      <c r="AE515" s="167"/>
      <c r="AF515" s="146">
        <f>+SUMIF($C:$C,$V515,L:L)</f>
        <v>26693.459999999985</v>
      </c>
      <c r="AG515" s="147"/>
      <c r="AH515" s="148" t="e">
        <f t="shared" si="81"/>
        <v>#N/A</v>
      </c>
      <c r="AI515" s="169" t="e">
        <f t="shared" si="79"/>
        <v>#N/A</v>
      </c>
      <c r="AJ515" s="168"/>
      <c r="AK515" s="167"/>
      <c r="AL515" s="146">
        <v>17647.25</v>
      </c>
      <c r="AM515" s="150"/>
      <c r="AN515" s="148">
        <f t="shared" si="82"/>
        <v>9046.2099999999846</v>
      </c>
      <c r="AO515" s="343">
        <f t="shared" si="77"/>
        <v>0.5126130133590211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396" t="s">
        <v>45</v>
      </c>
      <c r="B516" s="3"/>
      <c r="C516" s="336" t="s">
        <v>490</v>
      </c>
      <c r="V516" s="271" t="s">
        <v>45</v>
      </c>
      <c r="W516" s="163" t="s">
        <v>141</v>
      </c>
      <c r="X516" s="157"/>
      <c r="Y516" s="353" t="e">
        <f>Z516/(SUM(Z507:Z511)+E268-F268+Z496+Z497)</f>
        <v>#N/A</v>
      </c>
      <c r="Z516" s="158" t="e">
        <f t="shared" si="80"/>
        <v>#N/A</v>
      </c>
      <c r="AA516" s="157"/>
      <c r="AB516" s="157"/>
      <c r="AC516" s="158"/>
      <c r="AD516" s="165"/>
      <c r="AE516" s="164"/>
      <c r="AF516" s="158">
        <f>+SUMIF($C:$C,$V516,L:L)</f>
        <v>46233.479999999996</v>
      </c>
      <c r="AG516" s="159"/>
      <c r="AH516" s="160" t="e">
        <f t="shared" si="81"/>
        <v>#N/A</v>
      </c>
      <c r="AI516" s="161" t="e">
        <f t="shared" si="79"/>
        <v>#N/A</v>
      </c>
      <c r="AJ516" s="165"/>
      <c r="AK516" s="164"/>
      <c r="AL516" s="158">
        <v>45059.379999999976</v>
      </c>
      <c r="AM516" s="162"/>
      <c r="AN516" s="160">
        <f t="shared" si="82"/>
        <v>1174.1000000000204</v>
      </c>
      <c r="AO516" s="349">
        <f t="shared" si="77"/>
        <v>2.6056727811168752E-2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396" t="s">
        <v>46</v>
      </c>
      <c r="B517" s="3"/>
      <c r="C517" s="336" t="s">
        <v>490</v>
      </c>
      <c r="V517" s="271" t="s">
        <v>46</v>
      </c>
      <c r="W517" s="163" t="s">
        <v>142</v>
      </c>
      <c r="X517" s="157"/>
      <c r="Y517" s="353" t="e">
        <f>Z517/(SUM(Z507:Z511)+E268-F268+Z497+Z496)</f>
        <v>#N/A</v>
      </c>
      <c r="Z517" s="158" t="e">
        <f t="shared" si="80"/>
        <v>#N/A</v>
      </c>
      <c r="AA517" s="157"/>
      <c r="AB517" s="157"/>
      <c r="AC517" s="158"/>
      <c r="AD517" s="165"/>
      <c r="AE517" s="164"/>
      <c r="AF517" s="158">
        <f>+SUMIF($C:$C,$V517,L:L)</f>
        <v>7310.7800000000016</v>
      </c>
      <c r="AG517" s="159"/>
      <c r="AH517" s="160" t="e">
        <f t="shared" si="81"/>
        <v>#N/A</v>
      </c>
      <c r="AI517" s="161" t="e">
        <f t="shared" si="79"/>
        <v>#N/A</v>
      </c>
      <c r="AJ517" s="165"/>
      <c r="AK517" s="164"/>
      <c r="AL517" s="158">
        <v>21241.299999999988</v>
      </c>
      <c r="AM517" s="162"/>
      <c r="AN517" s="160">
        <f t="shared" si="82"/>
        <v>-13930.519999999986</v>
      </c>
      <c r="AO517" s="349">
        <f t="shared" si="77"/>
        <v>-0.65582238375240653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396" t="s">
        <v>47</v>
      </c>
      <c r="B518" s="3"/>
      <c r="C518" s="336" t="s">
        <v>490</v>
      </c>
      <c r="V518" s="271" t="s">
        <v>47</v>
      </c>
      <c r="W518" s="163"/>
      <c r="X518" s="157"/>
      <c r="Y518" s="157"/>
      <c r="Z518" s="158" t="e">
        <f t="shared" si="80"/>
        <v>#N/A</v>
      </c>
      <c r="AA518" s="157"/>
      <c r="AB518" s="157"/>
      <c r="AC518" s="158"/>
      <c r="AD518" s="165"/>
      <c r="AE518" s="164"/>
      <c r="AF518" s="158">
        <f>+SUMIF($C:$C,$V518,L:L)</f>
        <v>15034.749999999998</v>
      </c>
      <c r="AG518" s="159"/>
      <c r="AH518" s="160" t="e">
        <f t="shared" si="81"/>
        <v>#N/A</v>
      </c>
      <c r="AI518" s="177" t="e">
        <f t="shared" si="79"/>
        <v>#N/A</v>
      </c>
      <c r="AJ518" s="165"/>
      <c r="AK518" s="164"/>
      <c r="AL518" s="158">
        <v>1095.6000000000008</v>
      </c>
      <c r="AM518" s="162"/>
      <c r="AN518" s="160">
        <f t="shared" si="82"/>
        <v>13939.149999999998</v>
      </c>
      <c r="AO518" s="349">
        <f t="shared" si="77"/>
        <v>12.722845929171219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396" t="s">
        <v>19</v>
      </c>
      <c r="B519" s="3"/>
      <c r="C519" s="336" t="s">
        <v>490</v>
      </c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81"/>
        <v>0</v>
      </c>
      <c r="AI519" s="161">
        <f t="shared" si="79"/>
        <v>0</v>
      </c>
      <c r="AJ519" s="165"/>
      <c r="AK519" s="164"/>
      <c r="AL519" s="158">
        <f>IFERROR(SUMIF($C:$C,$V519,R:R),0)</f>
        <v>0</v>
      </c>
      <c r="AM519" s="162"/>
      <c r="AN519" s="160">
        <f t="shared" si="82"/>
        <v>0</v>
      </c>
      <c r="AO519" s="343">
        <f t="shared" si="77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396" t="s">
        <v>48</v>
      </c>
      <c r="B520" s="3"/>
      <c r="C520" s="336" t="s">
        <v>490</v>
      </c>
      <c r="V520" s="351" t="s">
        <v>48</v>
      </c>
      <c r="W520" s="170"/>
      <c r="X520" s="171" t="e">
        <f>Z520/Z494</f>
        <v>#N/A</v>
      </c>
      <c r="Y520" s="170"/>
      <c r="Z520" s="172" t="e">
        <f>SUM(Z507:Z519)</f>
        <v>#N/A</v>
      </c>
      <c r="AA520" s="171"/>
      <c r="AB520" s="170"/>
      <c r="AC520" s="172"/>
      <c r="AD520" s="173">
        <f>AF520/AF494</f>
        <v>0.44587614095053318</v>
      </c>
      <c r="AE520" s="178"/>
      <c r="AF520" s="172">
        <f>SUM(AF507:AF519)</f>
        <v>209902.06999999992</v>
      </c>
      <c r="AG520" s="174"/>
      <c r="AH520" s="175" t="e">
        <f t="shared" si="81"/>
        <v>#N/A</v>
      </c>
      <c r="AI520" s="171" t="e">
        <f>AH520/Z520</f>
        <v>#N/A</v>
      </c>
      <c r="AJ520" s="173">
        <f>AL520/AL494</f>
        <v>0.41600824761487926</v>
      </c>
      <c r="AK520" s="178"/>
      <c r="AL520" s="172">
        <f>SUM(AL507:AL519)</f>
        <v>328294.65999999997</v>
      </c>
      <c r="AM520" s="180"/>
      <c r="AN520" s="175">
        <f t="shared" si="82"/>
        <v>-118392.59000000005</v>
      </c>
      <c r="AO520" s="346">
        <f t="shared" si="77"/>
        <v>-0.36062904586995131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396" t="s">
        <v>49</v>
      </c>
      <c r="B521" s="3"/>
      <c r="C521" s="336" t="s">
        <v>490</v>
      </c>
      <c r="V521" s="329" t="s">
        <v>49</v>
      </c>
      <c r="W521" s="181" t="s">
        <v>132</v>
      </c>
      <c r="X521" s="182"/>
      <c r="Y521" s="182"/>
      <c r="Z521" s="183" t="e">
        <f t="shared" ref="Z521:Z535" si="83">+SUMIF($C:$C,$V521,F:F)</f>
        <v>#N/A</v>
      </c>
      <c r="AA521" s="182"/>
      <c r="AB521" s="182"/>
      <c r="AC521" s="183"/>
      <c r="AD521" s="184"/>
      <c r="AE521" s="185"/>
      <c r="AF521" s="183">
        <f>+SUMIF($C:$C,$V521,L:L)</f>
        <v>2789.2900000000009</v>
      </c>
      <c r="AG521" s="184"/>
      <c r="AH521" s="186" t="e">
        <f t="shared" si="81"/>
        <v>#N/A</v>
      </c>
      <c r="AI521" s="187" t="e">
        <f t="shared" ref="AI521:AI538" si="84">IF(Z521=0,0,AH521/Z521)</f>
        <v>#N/A</v>
      </c>
      <c r="AJ521" s="184"/>
      <c r="AK521" s="185"/>
      <c r="AL521" s="183">
        <v>3041.1800000000003</v>
      </c>
      <c r="AM521" s="188"/>
      <c r="AN521" s="186">
        <f t="shared" si="82"/>
        <v>-251.88999999999942</v>
      </c>
      <c r="AO521" s="348">
        <f t="shared" si="77"/>
        <v>-8.2826402909396815E-2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396" t="s">
        <v>50</v>
      </c>
      <c r="B522" s="3"/>
      <c r="C522" s="336" t="s">
        <v>490</v>
      </c>
      <c r="V522" s="271" t="s">
        <v>50</v>
      </c>
      <c r="W522" s="163" t="s">
        <v>143</v>
      </c>
      <c r="X522" s="157"/>
      <c r="Y522" s="157"/>
      <c r="Z522" s="158" t="e">
        <f t="shared" si="83"/>
        <v>#N/A</v>
      </c>
      <c r="AA522" s="157"/>
      <c r="AB522" s="157"/>
      <c r="AC522" s="158"/>
      <c r="AD522" s="165"/>
      <c r="AE522" s="164"/>
      <c r="AF522" s="158">
        <f>+SUMIF($C:$C,$V522,L:L)</f>
        <v>4099.07</v>
      </c>
      <c r="AG522" s="159"/>
      <c r="AH522" s="160" t="e">
        <f t="shared" si="81"/>
        <v>#N/A</v>
      </c>
      <c r="AI522" s="161" t="e">
        <f t="shared" si="84"/>
        <v>#N/A</v>
      </c>
      <c r="AJ522" s="165"/>
      <c r="AK522" s="164"/>
      <c r="AL522" s="158">
        <v>587.54000000000087</v>
      </c>
      <c r="AM522" s="162"/>
      <c r="AN522" s="160">
        <f t="shared" si="82"/>
        <v>3511.5299999999988</v>
      </c>
      <c r="AO522" s="349">
        <f t="shared" si="77"/>
        <v>5.9766654185246857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396" t="s">
        <v>51</v>
      </c>
      <c r="B523" s="3"/>
      <c r="C523" s="336" t="s">
        <v>490</v>
      </c>
      <c r="U523" s="386"/>
      <c r="V523" s="272" t="s">
        <v>51</v>
      </c>
      <c r="W523" s="166" t="s">
        <v>144</v>
      </c>
      <c r="X523" s="145"/>
      <c r="Y523" s="145"/>
      <c r="Z523" s="146" t="e">
        <f t="shared" si="83"/>
        <v>#N/A</v>
      </c>
      <c r="AA523" s="145"/>
      <c r="AB523" s="145"/>
      <c r="AC523" s="146"/>
      <c r="AD523" s="168"/>
      <c r="AE523" s="167"/>
      <c r="AF523" s="146">
        <f>+SUMIF($C:$C,$V523,L:L)</f>
        <v>25757.210000000014</v>
      </c>
      <c r="AG523" s="147"/>
      <c r="AH523" s="148" t="e">
        <f t="shared" si="81"/>
        <v>#N/A</v>
      </c>
      <c r="AI523" s="169" t="e">
        <f t="shared" si="84"/>
        <v>#N/A</v>
      </c>
      <c r="AJ523" s="168"/>
      <c r="AK523" s="167"/>
      <c r="AL523" s="146">
        <v>-24.409999999995307</v>
      </c>
      <c r="AM523" s="150"/>
      <c r="AN523" s="148">
        <f t="shared" si="82"/>
        <v>25781.62000000001</v>
      </c>
      <c r="AO523" s="343">
        <f t="shared" si="77"/>
        <v>-1056.1909053668564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396" t="s">
        <v>52</v>
      </c>
      <c r="B524" s="3"/>
      <c r="C524" s="336" t="s">
        <v>490</v>
      </c>
      <c r="U524" s="386"/>
      <c r="V524" s="271" t="s">
        <v>52</v>
      </c>
      <c r="W524" s="163" t="s">
        <v>145</v>
      </c>
      <c r="X524" s="157"/>
      <c r="Y524" s="157"/>
      <c r="Z524" s="158" t="e">
        <f t="shared" si="83"/>
        <v>#N/A</v>
      </c>
      <c r="AA524" s="157"/>
      <c r="AB524" s="157"/>
      <c r="AC524" s="158"/>
      <c r="AD524" s="165"/>
      <c r="AE524" s="164"/>
      <c r="AF524" s="158">
        <f>+SUMIF($C:$C,$V524,L:L)</f>
        <v>14103.610000000004</v>
      </c>
      <c r="AG524" s="159"/>
      <c r="AH524" s="160" t="e">
        <f t="shared" si="81"/>
        <v>#N/A</v>
      </c>
      <c r="AI524" s="161" t="e">
        <f t="shared" si="84"/>
        <v>#N/A</v>
      </c>
      <c r="AJ524" s="165"/>
      <c r="AK524" s="164"/>
      <c r="AL524" s="158">
        <v>14283.7</v>
      </c>
      <c r="AM524" s="162"/>
      <c r="AN524" s="160">
        <f t="shared" si="82"/>
        <v>-180.08999999999651</v>
      </c>
      <c r="AO524" s="349">
        <f t="shared" si="77"/>
        <v>-1.2608077738960949E-2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396" t="s">
        <v>53</v>
      </c>
      <c r="B525" s="3"/>
      <c r="C525" s="336" t="s">
        <v>490</v>
      </c>
      <c r="U525" s="386"/>
      <c r="V525" s="271" t="s">
        <v>53</v>
      </c>
      <c r="W525" s="163" t="s">
        <v>146</v>
      </c>
      <c r="X525" s="157"/>
      <c r="Y525" s="157"/>
      <c r="Z525" s="158" t="e">
        <f t="shared" si="83"/>
        <v>#N/A</v>
      </c>
      <c r="AA525" s="157"/>
      <c r="AB525" s="157"/>
      <c r="AC525" s="158"/>
      <c r="AD525" s="165"/>
      <c r="AE525" s="164"/>
      <c r="AF525" s="158">
        <f>+SUMIF($C:$C,$V525,L:L)</f>
        <v>3034.8699999999967</v>
      </c>
      <c r="AG525" s="159"/>
      <c r="AH525" s="160" t="e">
        <f t="shared" si="81"/>
        <v>#N/A</v>
      </c>
      <c r="AI525" s="161" t="e">
        <f t="shared" si="84"/>
        <v>#N/A</v>
      </c>
      <c r="AJ525" s="165"/>
      <c r="AK525" s="164"/>
      <c r="AL525" s="158">
        <v>2338.5599999999995</v>
      </c>
      <c r="AM525" s="162"/>
      <c r="AN525" s="160">
        <f t="shared" si="82"/>
        <v>696.30999999999722</v>
      </c>
      <c r="AO525" s="349">
        <f t="shared" si="77"/>
        <v>0.29775160782703775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396" t="s">
        <v>54</v>
      </c>
      <c r="B526" s="3"/>
      <c r="C526" s="336" t="s">
        <v>490</v>
      </c>
      <c r="V526" s="271" t="s">
        <v>54</v>
      </c>
      <c r="W526" s="163" t="s">
        <v>147</v>
      </c>
      <c r="X526" s="157"/>
      <c r="Y526" s="157"/>
      <c r="Z526" s="158" t="e">
        <f t="shared" si="83"/>
        <v>#N/A</v>
      </c>
      <c r="AA526" s="157"/>
      <c r="AB526" s="157"/>
      <c r="AC526" s="158"/>
      <c r="AD526" s="165"/>
      <c r="AE526" s="164"/>
      <c r="AF526" s="158">
        <v>18156.589999999997</v>
      </c>
      <c r="AG526" s="159"/>
      <c r="AH526" s="160" t="e">
        <f t="shared" si="81"/>
        <v>#N/A</v>
      </c>
      <c r="AI526" s="161" t="e">
        <f t="shared" si="84"/>
        <v>#N/A</v>
      </c>
      <c r="AJ526" s="165"/>
      <c r="AK526" s="164"/>
      <c r="AL526" s="158">
        <v>26741.979999999989</v>
      </c>
      <c r="AM526" s="162"/>
      <c r="AN526" s="160">
        <f t="shared" si="82"/>
        <v>-8585.3899999999921</v>
      </c>
      <c r="AO526" s="349">
        <f t="shared" si="77"/>
        <v>-0.32104541249376434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6" t="s">
        <v>490</v>
      </c>
      <c r="V527" s="329" t="s">
        <v>93</v>
      </c>
      <c r="W527" s="181"/>
      <c r="X527" s="182"/>
      <c r="Y527" s="182"/>
      <c r="Z527" s="183">
        <f t="shared" si="83"/>
        <v>0</v>
      </c>
      <c r="AA527" s="182"/>
      <c r="AB527" s="182"/>
      <c r="AC527" s="183"/>
      <c r="AD527" s="184"/>
      <c r="AE527" s="185"/>
      <c r="AF527" s="183">
        <f t="shared" ref="AF527:AF532" si="85">+SUMIF($C:$C,$V527,L:L)</f>
        <v>0</v>
      </c>
      <c r="AG527" s="355"/>
      <c r="AH527" s="186">
        <f t="shared" si="81"/>
        <v>0</v>
      </c>
      <c r="AI527" s="187">
        <f t="shared" si="84"/>
        <v>0</v>
      </c>
      <c r="AJ527" s="184"/>
      <c r="AK527" s="185"/>
      <c r="AL527" s="183">
        <v>0</v>
      </c>
      <c r="AM527" s="188"/>
      <c r="AN527" s="186">
        <f t="shared" si="82"/>
        <v>0</v>
      </c>
      <c r="AO527" s="348">
        <f t="shared" si="77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396" t="s">
        <v>55</v>
      </c>
      <c r="B528" s="3"/>
      <c r="C528" s="336" t="s">
        <v>490</v>
      </c>
      <c r="V528" s="271" t="s">
        <v>55</v>
      </c>
      <c r="W528" s="163" t="s">
        <v>148</v>
      </c>
      <c r="X528" s="157"/>
      <c r="Y528" s="164"/>
      <c r="Z528" s="158" t="e">
        <f t="shared" si="83"/>
        <v>#N/A</v>
      </c>
      <c r="AA528" s="157"/>
      <c r="AB528" s="164"/>
      <c r="AC528" s="158"/>
      <c r="AD528" s="165"/>
      <c r="AE528" s="164"/>
      <c r="AF528" s="158">
        <f t="shared" si="85"/>
        <v>9028.5200000000077</v>
      </c>
      <c r="AG528" s="159"/>
      <c r="AH528" s="160" t="e">
        <f t="shared" si="81"/>
        <v>#N/A</v>
      </c>
      <c r="AI528" s="161" t="e">
        <f t="shared" si="84"/>
        <v>#N/A</v>
      </c>
      <c r="AJ528" s="165"/>
      <c r="AK528" s="164"/>
      <c r="AL528" s="158">
        <v>7515.7199999999984</v>
      </c>
      <c r="AM528" s="162"/>
      <c r="AN528" s="160">
        <f t="shared" si="82"/>
        <v>1512.8000000000093</v>
      </c>
      <c r="AO528" s="349">
        <f t="shared" si="77"/>
        <v>0.20128477378082335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396" t="s">
        <v>56</v>
      </c>
      <c r="B529" s="3"/>
      <c r="C529" s="336" t="s">
        <v>490</v>
      </c>
      <c r="U529" s="6"/>
      <c r="V529" s="271" t="s">
        <v>56</v>
      </c>
      <c r="W529" s="163" t="s">
        <v>149</v>
      </c>
      <c r="X529" s="157"/>
      <c r="Y529" s="157"/>
      <c r="Z529" s="158" t="e">
        <f t="shared" si="83"/>
        <v>#N/A</v>
      </c>
      <c r="AA529" s="157"/>
      <c r="AB529" s="157"/>
      <c r="AC529" s="158"/>
      <c r="AD529" s="165"/>
      <c r="AE529" s="164"/>
      <c r="AF529" s="158">
        <f t="shared" si="85"/>
        <v>2181.89</v>
      </c>
      <c r="AG529" s="159"/>
      <c r="AH529" s="160" t="e">
        <f t="shared" si="81"/>
        <v>#N/A</v>
      </c>
      <c r="AI529" s="177" t="e">
        <f t="shared" si="84"/>
        <v>#N/A</v>
      </c>
      <c r="AJ529" s="165"/>
      <c r="AK529" s="164"/>
      <c r="AL529" s="158">
        <v>0</v>
      </c>
      <c r="AM529" s="162"/>
      <c r="AN529" s="160">
        <f t="shared" si="82"/>
        <v>2181.89</v>
      </c>
      <c r="AO529" s="349">
        <f t="shared" si="77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396" t="s">
        <v>57</v>
      </c>
      <c r="B530" s="3"/>
      <c r="C530" s="336" t="s">
        <v>490</v>
      </c>
      <c r="T530" s="6"/>
      <c r="U530" s="6"/>
      <c r="V530" s="271" t="s">
        <v>57</v>
      </c>
      <c r="W530" s="163" t="s">
        <v>150</v>
      </c>
      <c r="X530" s="157"/>
      <c r="Y530" s="157"/>
      <c r="Z530" s="158" t="e">
        <f t="shared" si="83"/>
        <v>#N/A</v>
      </c>
      <c r="AA530" s="157"/>
      <c r="AB530" s="157"/>
      <c r="AC530" s="158"/>
      <c r="AD530" s="165"/>
      <c r="AE530" s="164"/>
      <c r="AF530" s="158">
        <f t="shared" si="85"/>
        <v>5152.3700000000017</v>
      </c>
      <c r="AG530" s="159"/>
      <c r="AH530" s="160" t="e">
        <f t="shared" si="81"/>
        <v>#N/A</v>
      </c>
      <c r="AI530" s="161" t="e">
        <f t="shared" si="84"/>
        <v>#N/A</v>
      </c>
      <c r="AJ530" s="165"/>
      <c r="AK530" s="164"/>
      <c r="AL530" s="158">
        <v>5635.1900000000023</v>
      </c>
      <c r="AM530" s="162"/>
      <c r="AN530" s="160">
        <f t="shared" si="82"/>
        <v>-482.82000000000062</v>
      </c>
      <c r="AO530" s="349">
        <f t="shared" si="77"/>
        <v>-8.5679453576543191E-2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396" t="s">
        <v>58</v>
      </c>
      <c r="B531" s="3"/>
      <c r="C531" s="336" t="s">
        <v>490</v>
      </c>
      <c r="T531" s="6"/>
      <c r="U531" s="6"/>
      <c r="V531" s="271" t="s">
        <v>58</v>
      </c>
      <c r="W531" s="163" t="s">
        <v>151</v>
      </c>
      <c r="X531" s="157"/>
      <c r="Y531" s="157"/>
      <c r="Z531" s="158" t="e">
        <f t="shared" si="83"/>
        <v>#N/A</v>
      </c>
      <c r="AA531" s="157"/>
      <c r="AB531" s="157"/>
      <c r="AC531" s="158"/>
      <c r="AD531" s="165"/>
      <c r="AE531" s="164"/>
      <c r="AF531" s="158">
        <f t="shared" si="85"/>
        <v>2296.1399999999994</v>
      </c>
      <c r="AG531" s="159"/>
      <c r="AH531" s="160" t="e">
        <f t="shared" si="81"/>
        <v>#N/A</v>
      </c>
      <c r="AI531" s="177" t="e">
        <f t="shared" si="84"/>
        <v>#N/A</v>
      </c>
      <c r="AJ531" s="165"/>
      <c r="AK531" s="164"/>
      <c r="AL531" s="158">
        <v>3287.599999999999</v>
      </c>
      <c r="AM531" s="162"/>
      <c r="AN531" s="160">
        <f t="shared" si="82"/>
        <v>-991.45999999999958</v>
      </c>
      <c r="AO531" s="349">
        <f t="shared" si="77"/>
        <v>-0.30157561747171185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396" t="s">
        <v>59</v>
      </c>
      <c r="B532" s="3"/>
      <c r="C532" s="336" t="s">
        <v>490</v>
      </c>
      <c r="T532" s="6"/>
      <c r="U532" s="6"/>
      <c r="V532" s="271" t="s">
        <v>59</v>
      </c>
      <c r="W532" s="163" t="s">
        <v>152</v>
      </c>
      <c r="X532" s="157"/>
      <c r="Y532" s="157"/>
      <c r="Z532" s="158" t="e">
        <f t="shared" si="83"/>
        <v>#N/A</v>
      </c>
      <c r="AA532" s="157"/>
      <c r="AB532" s="157"/>
      <c r="AC532" s="158"/>
      <c r="AD532" s="165"/>
      <c r="AE532" s="164"/>
      <c r="AF532" s="158">
        <f t="shared" si="85"/>
        <v>2907.1199999999985</v>
      </c>
      <c r="AG532" s="159"/>
      <c r="AH532" s="160" t="e">
        <f t="shared" si="81"/>
        <v>#N/A</v>
      </c>
      <c r="AI532" s="161" t="e">
        <f t="shared" si="84"/>
        <v>#N/A</v>
      </c>
      <c r="AJ532" s="165"/>
      <c r="AK532" s="164"/>
      <c r="AL532" s="158">
        <v>4989.0299999999988</v>
      </c>
      <c r="AM532" s="162"/>
      <c r="AN532" s="160">
        <f t="shared" si="82"/>
        <v>-2081.9100000000003</v>
      </c>
      <c r="AO532" s="349">
        <f t="shared" si="77"/>
        <v>-0.41729755082651354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396" t="s">
        <v>60</v>
      </c>
      <c r="B533" s="3"/>
      <c r="C533" s="336" t="s">
        <v>490</v>
      </c>
      <c r="T533" s="6"/>
      <c r="U533" s="6"/>
      <c r="V533" s="271" t="s">
        <v>60</v>
      </c>
      <c r="W533" s="163" t="s">
        <v>153</v>
      </c>
      <c r="X533" s="157"/>
      <c r="Y533" s="164"/>
      <c r="Z533" s="158" t="e">
        <f t="shared" si="83"/>
        <v>#N/A</v>
      </c>
      <c r="AA533" s="157"/>
      <c r="AB533" s="164"/>
      <c r="AC533" s="158"/>
      <c r="AD533" s="165"/>
      <c r="AE533" s="164"/>
      <c r="AF533" s="158">
        <v>9302.32</v>
      </c>
      <c r="AG533" s="159"/>
      <c r="AH533" s="160" t="e">
        <f t="shared" si="81"/>
        <v>#N/A</v>
      </c>
      <c r="AI533" s="177" t="e">
        <f t="shared" si="84"/>
        <v>#N/A</v>
      </c>
      <c r="AJ533" s="165"/>
      <c r="AK533" s="164"/>
      <c r="AL533" s="158">
        <v>12188.220000000001</v>
      </c>
      <c r="AM533" s="162"/>
      <c r="AN533" s="160">
        <f t="shared" si="82"/>
        <v>-2885.9000000000015</v>
      </c>
      <c r="AO533" s="349">
        <f t="shared" si="77"/>
        <v>-0.23677780676751825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396" t="s">
        <v>61</v>
      </c>
      <c r="B534" s="3"/>
      <c r="C534" s="336" t="s">
        <v>490</v>
      </c>
      <c r="T534" s="6"/>
      <c r="U534" s="6"/>
      <c r="V534" s="271" t="s">
        <v>61</v>
      </c>
      <c r="W534" s="163" t="s">
        <v>154</v>
      </c>
      <c r="X534" s="157"/>
      <c r="Y534" s="164"/>
      <c r="Z534" s="158" t="e">
        <f t="shared" si="83"/>
        <v>#N/A</v>
      </c>
      <c r="AA534" s="157"/>
      <c r="AB534" s="164"/>
      <c r="AC534" s="158"/>
      <c r="AD534" s="165"/>
      <c r="AE534" s="164"/>
      <c r="AF534" s="158">
        <f>+SUMIF($C:$C,$V534,L:L)</f>
        <v>1736</v>
      </c>
      <c r="AG534" s="159"/>
      <c r="AH534" s="160" t="e">
        <f t="shared" si="81"/>
        <v>#N/A</v>
      </c>
      <c r="AI534" s="161" t="e">
        <f t="shared" si="84"/>
        <v>#N/A</v>
      </c>
      <c r="AJ534" s="165"/>
      <c r="AK534" s="164"/>
      <c r="AL534" s="158">
        <v>1365.5900000000001</v>
      </c>
      <c r="AM534" s="162"/>
      <c r="AN534" s="160">
        <f t="shared" si="82"/>
        <v>370.40999999999985</v>
      </c>
      <c r="AO534" s="349">
        <f t="shared" si="77"/>
        <v>0.27124539576300338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396" t="s">
        <v>62</v>
      </c>
      <c r="B535" s="3"/>
      <c r="C535" s="336" t="s">
        <v>490</v>
      </c>
      <c r="T535" s="6"/>
      <c r="U535" s="6"/>
      <c r="V535" s="271" t="s">
        <v>62</v>
      </c>
      <c r="W535" s="163" t="s">
        <v>155</v>
      </c>
      <c r="X535" s="157"/>
      <c r="Y535" s="353" t="e">
        <f>Z535/Z493</f>
        <v>#N/A</v>
      </c>
      <c r="Z535" s="158" t="e">
        <f t="shared" si="83"/>
        <v>#N/A</v>
      </c>
      <c r="AA535" s="157"/>
      <c r="AB535" s="164"/>
      <c r="AC535" s="158"/>
      <c r="AD535" s="165"/>
      <c r="AE535" s="164"/>
      <c r="AF535" s="158">
        <v>4831.4800000000014</v>
      </c>
      <c r="AG535" s="159"/>
      <c r="AH535" s="160" t="e">
        <f t="shared" si="81"/>
        <v>#N/A</v>
      </c>
      <c r="AI535" s="161" t="e">
        <f t="shared" si="84"/>
        <v>#N/A</v>
      </c>
      <c r="AJ535" s="165"/>
      <c r="AK535" s="164"/>
      <c r="AL535" s="158">
        <v>994.98999999999933</v>
      </c>
      <c r="AM535" s="162"/>
      <c r="AN535" s="160">
        <f t="shared" si="82"/>
        <v>3836.4900000000021</v>
      </c>
      <c r="AO535" s="349">
        <f t="shared" si="77"/>
        <v>3.8558075960562466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396" t="s">
        <v>19</v>
      </c>
      <c r="B536" s="3"/>
      <c r="C536" s="336" t="s">
        <v>490</v>
      </c>
      <c r="T536" s="6"/>
      <c r="U536" s="6"/>
      <c r="V536" s="271" t="s">
        <v>417</v>
      </c>
      <c r="W536" s="163"/>
      <c r="X536" s="157"/>
      <c r="Y536" s="164"/>
      <c r="Z536" s="158">
        <f>IFERROR(SUMIF($C:$C,$V536,F:F),0)</f>
        <v>0</v>
      </c>
      <c r="AA536" s="157"/>
      <c r="AB536" s="157"/>
      <c r="AC536" s="158"/>
      <c r="AD536" s="165"/>
      <c r="AE536" s="164"/>
      <c r="AF536" s="158">
        <f>IFERROR(SUMIF($C:$C,$V536,L:L),0)</f>
        <v>3356.1899999999987</v>
      </c>
      <c r="AG536" s="159"/>
      <c r="AH536" s="160">
        <f t="shared" si="81"/>
        <v>3356.1899999999987</v>
      </c>
      <c r="AI536" s="161">
        <f t="shared" si="84"/>
        <v>0</v>
      </c>
      <c r="AJ536" s="165"/>
      <c r="AK536" s="164"/>
      <c r="AL536" s="158">
        <f>IFERROR(SUMIF($C:$C,$V536,R:R),0)</f>
        <v>0</v>
      </c>
      <c r="AM536" s="162"/>
      <c r="AN536" s="160">
        <f t="shared" si="82"/>
        <v>3356.1899999999987</v>
      </c>
      <c r="AO536" s="349">
        <f t="shared" si="77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396" t="s">
        <v>19</v>
      </c>
      <c r="B537" s="3"/>
      <c r="C537" s="336" t="s">
        <v>490</v>
      </c>
      <c r="T537" s="6"/>
      <c r="U537" s="6"/>
      <c r="V537" s="271" t="s">
        <v>19</v>
      </c>
      <c r="W537" s="163"/>
      <c r="X537" s="157"/>
      <c r="Y537" s="164"/>
      <c r="Z537" s="158">
        <f>IFERROR(SUMIF($C:$C,$V537,F:F),0)</f>
        <v>0</v>
      </c>
      <c r="AA537" s="157"/>
      <c r="AB537" s="157"/>
      <c r="AC537" s="158"/>
      <c r="AD537" s="165"/>
      <c r="AE537" s="164"/>
      <c r="AF537" s="158">
        <f>IFERROR(SUMIF($C:$C,$V537,L:L),0)</f>
        <v>0</v>
      </c>
      <c r="AG537" s="159"/>
      <c r="AH537" s="160">
        <f t="shared" si="81"/>
        <v>0</v>
      </c>
      <c r="AI537" s="161">
        <f t="shared" si="84"/>
        <v>0</v>
      </c>
      <c r="AJ537" s="165"/>
      <c r="AK537" s="164"/>
      <c r="AL537" s="158">
        <f>IFERROR(SUMIF($C:$C,$V537,R:R),0)</f>
        <v>0</v>
      </c>
      <c r="AM537" s="162"/>
      <c r="AN537" s="160">
        <f t="shared" si="82"/>
        <v>0</v>
      </c>
      <c r="AO537" s="349">
        <f t="shared" si="77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396" t="s">
        <v>19</v>
      </c>
      <c r="B538" s="3"/>
      <c r="C538" s="336" t="s">
        <v>490</v>
      </c>
      <c r="T538" s="6"/>
      <c r="U538" s="6"/>
      <c r="V538" s="271" t="s">
        <v>19</v>
      </c>
      <c r="W538" s="163"/>
      <c r="X538" s="157"/>
      <c r="Y538" s="164"/>
      <c r="Z538" s="158">
        <f>IFERROR(SUMIF($C:$C,$V538,F:F),0)</f>
        <v>0</v>
      </c>
      <c r="AA538" s="157"/>
      <c r="AB538" s="157"/>
      <c r="AC538" s="158"/>
      <c r="AD538" s="165"/>
      <c r="AE538" s="164"/>
      <c r="AF538" s="158">
        <f>IFERROR(SUMIF($C:$C,$V538,L:L),0)</f>
        <v>0</v>
      </c>
      <c r="AG538" s="159"/>
      <c r="AH538" s="160">
        <f t="shared" si="81"/>
        <v>0</v>
      </c>
      <c r="AI538" s="161">
        <f t="shared" si="84"/>
        <v>0</v>
      </c>
      <c r="AJ538" s="165"/>
      <c r="AK538" s="164"/>
      <c r="AL538" s="158">
        <f>IFERROR(SUMIF($C:$C,$V538,R:R),0)</f>
        <v>0</v>
      </c>
      <c r="AM538" s="162"/>
      <c r="AN538" s="160">
        <f t="shared" si="82"/>
        <v>0</v>
      </c>
      <c r="AO538" s="349">
        <f t="shared" si="77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396" t="s">
        <v>63</v>
      </c>
      <c r="B539" s="3"/>
      <c r="C539" s="336" t="s">
        <v>490</v>
      </c>
      <c r="T539" s="6"/>
      <c r="U539" s="6"/>
      <c r="V539" s="351" t="s">
        <v>63</v>
      </c>
      <c r="W539" s="189"/>
      <c r="X539" s="171" t="e">
        <f>Z539/+Z494</f>
        <v>#N/A</v>
      </c>
      <c r="Y539" s="170"/>
      <c r="Z539" s="172" t="e">
        <f>+SUM(Z521:Z538)</f>
        <v>#N/A</v>
      </c>
      <c r="AA539" s="171"/>
      <c r="AB539" s="170"/>
      <c r="AC539" s="172"/>
      <c r="AD539" s="173">
        <f>AF539/AF494</f>
        <v>0.23097105852671118</v>
      </c>
      <c r="AE539" s="170"/>
      <c r="AF539" s="172">
        <f>+SUM(AF521:AF538)</f>
        <v>108732.67</v>
      </c>
      <c r="AG539" s="179"/>
      <c r="AH539" s="356" t="e">
        <f>+SUM(AH521:AH538)</f>
        <v>#N/A</v>
      </c>
      <c r="AI539" s="171" t="e">
        <f>AH539/Z539</f>
        <v>#N/A</v>
      </c>
      <c r="AJ539" s="173">
        <f>AL539/AL494</f>
        <v>0.10510606032248264</v>
      </c>
      <c r="AK539" s="170"/>
      <c r="AL539" s="172">
        <f>+SUM(AL521:AL538)</f>
        <v>82944.89</v>
      </c>
      <c r="AM539" s="180"/>
      <c r="AN539" s="175">
        <f t="shared" si="82"/>
        <v>25787.78</v>
      </c>
      <c r="AO539" s="357">
        <f t="shared" si="77"/>
        <v>0.31090257639741276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396" t="s">
        <v>156</v>
      </c>
      <c r="B540" s="3"/>
      <c r="C540" s="336" t="s">
        <v>490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 t="e">
        <v>#N/A</v>
      </c>
      <c r="AA540" s="157"/>
      <c r="AB540" s="164"/>
      <c r="AC540" s="158"/>
      <c r="AD540" s="165"/>
      <c r="AE540" s="164"/>
      <c r="AF540" s="158">
        <v>71253.999999999985</v>
      </c>
      <c r="AG540" s="159"/>
      <c r="AH540" s="160" t="e">
        <f t="shared" ref="AH540:AH548" si="86">AF540-Z540</f>
        <v>#N/A</v>
      </c>
      <c r="AI540" s="161" t="e">
        <f t="shared" ref="AI540:AI548" si="87">IF(Z540=0,0,AH540/Z540)</f>
        <v>#N/A</v>
      </c>
      <c r="AJ540" s="165"/>
      <c r="AK540" s="164"/>
      <c r="AL540" s="158">
        <v>146172.65</v>
      </c>
      <c r="AM540" s="162"/>
      <c r="AN540" s="160">
        <f t="shared" si="82"/>
        <v>-74918.650000000009</v>
      </c>
      <c r="AO540" s="349">
        <f t="shared" si="77"/>
        <v>-0.51253534775486398</v>
      </c>
      <c r="AP540" s="6"/>
      <c r="AQ540" s="392">
        <v>71050</v>
      </c>
      <c r="AR540" s="6" t="s">
        <v>513</v>
      </c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396" t="s">
        <v>158</v>
      </c>
      <c r="B541" s="3"/>
      <c r="C541" s="336" t="s">
        <v>490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 t="e">
        <v>#N/A</v>
      </c>
      <c r="AA541" s="157"/>
      <c r="AB541" s="164"/>
      <c r="AC541" s="158"/>
      <c r="AD541" s="165"/>
      <c r="AE541" s="164"/>
      <c r="AF541" s="158">
        <v>7053.8900000000021</v>
      </c>
      <c r="AG541" s="159"/>
      <c r="AH541" s="160" t="e">
        <f t="shared" si="86"/>
        <v>#N/A</v>
      </c>
      <c r="AI541" s="161" t="e">
        <f t="shared" si="87"/>
        <v>#N/A</v>
      </c>
      <c r="AJ541" s="165"/>
      <c r="AK541" s="164"/>
      <c r="AL541" s="158">
        <v>12238</v>
      </c>
      <c r="AM541" s="162"/>
      <c r="AN541" s="160">
        <f t="shared" si="82"/>
        <v>-5184.1099999999979</v>
      </c>
      <c r="AO541" s="349">
        <f t="shared" si="77"/>
        <v>-0.42360761562346771</v>
      </c>
      <c r="AP541" s="6"/>
      <c r="AQ541" s="392">
        <v>7054</v>
      </c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396" t="s">
        <v>160</v>
      </c>
      <c r="B542" s="3"/>
      <c r="C542" s="336" t="s">
        <v>490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 t="e">
        <v>#N/A</v>
      </c>
      <c r="AA542" s="145"/>
      <c r="AB542" s="167"/>
      <c r="AC542" s="146"/>
      <c r="AD542" s="168"/>
      <c r="AE542" s="167"/>
      <c r="AF542" s="146">
        <v>14727.61</v>
      </c>
      <c r="AG542" s="147"/>
      <c r="AH542" s="148" t="e">
        <f t="shared" si="86"/>
        <v>#N/A</v>
      </c>
      <c r="AI542" s="169" t="e">
        <f t="shared" si="87"/>
        <v>#N/A</v>
      </c>
      <c r="AJ542" s="168"/>
      <c r="AK542" s="167"/>
      <c r="AL542" s="146">
        <v>10000</v>
      </c>
      <c r="AM542" s="150"/>
      <c r="AN542" s="148">
        <f t="shared" si="82"/>
        <v>4727.6100000000006</v>
      </c>
      <c r="AO542" s="343">
        <f t="shared" si="77"/>
        <v>0.47276100000000004</v>
      </c>
      <c r="AP542" s="6"/>
      <c r="AQ542" s="392">
        <v>14728</v>
      </c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396" t="s">
        <v>162</v>
      </c>
      <c r="B543" s="3"/>
      <c r="C543" s="336" t="s">
        <v>490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 t="e">
        <v>#N/A</v>
      </c>
      <c r="AA543" s="157"/>
      <c r="AB543" s="164"/>
      <c r="AC543" s="158"/>
      <c r="AD543" s="165"/>
      <c r="AE543" s="164"/>
      <c r="AF543" s="158">
        <v>0</v>
      </c>
      <c r="AG543" s="159"/>
      <c r="AH543" s="160" t="e">
        <f t="shared" si="86"/>
        <v>#N/A</v>
      </c>
      <c r="AI543" s="161" t="e">
        <f t="shared" si="87"/>
        <v>#N/A</v>
      </c>
      <c r="AJ543" s="165"/>
      <c r="AK543" s="164"/>
      <c r="AL543" s="158">
        <v>0</v>
      </c>
      <c r="AM543" s="162"/>
      <c r="AN543" s="160">
        <f t="shared" si="82"/>
        <v>0</v>
      </c>
      <c r="AO543" s="349">
        <f t="shared" si="77"/>
        <v>0</v>
      </c>
      <c r="AP543" s="6"/>
      <c r="AQ543" s="392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396" t="s">
        <v>163</v>
      </c>
      <c r="B544" s="3"/>
      <c r="C544" s="336" t="s">
        <v>490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 t="e">
        <v>#N/A</v>
      </c>
      <c r="AA544" s="145"/>
      <c r="AB544" s="167"/>
      <c r="AC544" s="146"/>
      <c r="AD544" s="168"/>
      <c r="AE544" s="167"/>
      <c r="AF544" s="146">
        <v>7841.2899999999991</v>
      </c>
      <c r="AG544" s="147"/>
      <c r="AH544" s="148" t="e">
        <f t="shared" si="86"/>
        <v>#N/A</v>
      </c>
      <c r="AI544" s="169" t="e">
        <f t="shared" si="87"/>
        <v>#N/A</v>
      </c>
      <c r="AJ544" s="168"/>
      <c r="AK544" s="167"/>
      <c r="AL544" s="146">
        <v>13073.609999999991</v>
      </c>
      <c r="AM544" s="150"/>
      <c r="AN544" s="148">
        <f t="shared" si="82"/>
        <v>-5232.3199999999924</v>
      </c>
      <c r="AO544" s="343">
        <f t="shared" si="77"/>
        <v>-0.40021998514564805</v>
      </c>
      <c r="AP544" s="6"/>
      <c r="AQ544" s="392">
        <v>7841</v>
      </c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396" t="s">
        <v>165</v>
      </c>
      <c r="B545" s="3"/>
      <c r="C545" s="336" t="s">
        <v>490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 t="e">
        <v>#N/A</v>
      </c>
      <c r="AA545" s="190"/>
      <c r="AB545" s="191"/>
      <c r="AC545" s="158"/>
      <c r="AD545" s="165"/>
      <c r="AE545" s="164"/>
      <c r="AF545" s="158">
        <v>11100</v>
      </c>
      <c r="AG545" s="159"/>
      <c r="AH545" s="160" t="e">
        <f t="shared" si="86"/>
        <v>#N/A</v>
      </c>
      <c r="AI545" s="161" t="e">
        <f t="shared" si="87"/>
        <v>#N/A</v>
      </c>
      <c r="AJ545" s="165"/>
      <c r="AK545" s="164"/>
      <c r="AL545" s="158">
        <v>9669.4700000000012</v>
      </c>
      <c r="AM545" s="162"/>
      <c r="AN545" s="160">
        <f t="shared" si="82"/>
        <v>1430.5299999999988</v>
      </c>
      <c r="AO545" s="349">
        <f t="shared" si="77"/>
        <v>0.14794295861096821</v>
      </c>
      <c r="AP545" s="6"/>
      <c r="AQ545" s="392">
        <v>11100</v>
      </c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396" t="s">
        <v>167</v>
      </c>
      <c r="B546" s="3"/>
      <c r="C546" s="336" t="s">
        <v>490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 t="e">
        <v>#N/A</v>
      </c>
      <c r="AA546" s="157"/>
      <c r="AB546" s="164"/>
      <c r="AC546" s="158"/>
      <c r="AD546" s="165"/>
      <c r="AE546" s="164"/>
      <c r="AF546" s="158">
        <v>10525.760000000002</v>
      </c>
      <c r="AG546" s="159"/>
      <c r="AH546" s="160" t="e">
        <f t="shared" si="86"/>
        <v>#N/A</v>
      </c>
      <c r="AI546" s="161" t="e">
        <f t="shared" si="87"/>
        <v>#N/A</v>
      </c>
      <c r="AJ546" s="165"/>
      <c r="AK546" s="164"/>
      <c r="AL546" s="158">
        <v>5066</v>
      </c>
      <c r="AM546" s="162"/>
      <c r="AN546" s="160">
        <f t="shared" si="82"/>
        <v>5459.760000000002</v>
      </c>
      <c r="AO546" s="349">
        <f t="shared" si="77"/>
        <v>1.0777260165811295</v>
      </c>
      <c r="AP546" s="6"/>
      <c r="AQ546" s="6"/>
      <c r="AR546" s="6" t="s">
        <v>514</v>
      </c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396" t="s">
        <v>169</v>
      </c>
      <c r="B547" s="3"/>
      <c r="C547" s="336" t="s">
        <v>490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 t="e">
        <v>#N/A</v>
      </c>
      <c r="AA547" s="145"/>
      <c r="AB547" s="167"/>
      <c r="AC547" s="146"/>
      <c r="AD547" s="168"/>
      <c r="AE547" s="167"/>
      <c r="AF547" s="146">
        <v>1779.4899999999989</v>
      </c>
      <c r="AG547" s="147"/>
      <c r="AH547" s="148" t="e">
        <f t="shared" si="86"/>
        <v>#N/A</v>
      </c>
      <c r="AI547" s="169" t="e">
        <f t="shared" si="87"/>
        <v>#N/A</v>
      </c>
      <c r="AJ547" s="168"/>
      <c r="AK547" s="167"/>
      <c r="AL547" s="146">
        <v>4467.3999999999978</v>
      </c>
      <c r="AM547" s="150"/>
      <c r="AN547" s="148">
        <f t="shared" si="82"/>
        <v>-2687.9099999999989</v>
      </c>
      <c r="AO547" s="343">
        <f t="shared" si="77"/>
        <v>-0.60167211353359906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396" t="s">
        <v>171</v>
      </c>
      <c r="B548" s="3"/>
      <c r="C548" s="336" t="s">
        <v>490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271" t="s">
        <v>171</v>
      </c>
      <c r="W548" s="163" t="s">
        <v>172</v>
      </c>
      <c r="X548" s="157"/>
      <c r="Y548" s="164"/>
      <c r="Z548" s="158" t="e">
        <v>#N/A</v>
      </c>
      <c r="AA548" s="157"/>
      <c r="AB548" s="164"/>
      <c r="AC548" s="158"/>
      <c r="AD548" s="165"/>
      <c r="AE548" s="164"/>
      <c r="AF548" s="158">
        <v>896.03000000000077</v>
      </c>
      <c r="AG548" s="159"/>
      <c r="AH548" s="160" t="e">
        <f t="shared" si="86"/>
        <v>#N/A</v>
      </c>
      <c r="AI548" s="192" t="e">
        <f t="shared" si="87"/>
        <v>#N/A</v>
      </c>
      <c r="AJ548" s="165"/>
      <c r="AK548" s="164"/>
      <c r="AL548" s="158">
        <v>158.19999999999973</v>
      </c>
      <c r="AM548" s="162"/>
      <c r="AN548" s="160">
        <f t="shared" si="82"/>
        <v>737.83000000000106</v>
      </c>
      <c r="AO548" s="349">
        <f t="shared" si="77"/>
        <v>4.6639064475347807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396" t="s">
        <v>173</v>
      </c>
      <c r="B549" s="3"/>
      <c r="C549" s="336" t="s">
        <v>490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82"/>
        <v>0</v>
      </c>
      <c r="AO549" s="349">
        <f t="shared" si="77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396" t="s">
        <v>19</v>
      </c>
      <c r="B550" s="3"/>
      <c r="C550" s="336" t="s">
        <v>490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271" t="s">
        <v>19</v>
      </c>
      <c r="W550" s="163"/>
      <c r="X550" s="157"/>
      <c r="Y550" s="164"/>
      <c r="Z550" s="158">
        <f>IFERROR(SUMIF($C:$C,$V550,F:F),0)</f>
        <v>0</v>
      </c>
      <c r="AA550" s="157"/>
      <c r="AB550" s="157"/>
      <c r="AC550" s="158"/>
      <c r="AD550" s="165"/>
      <c r="AE550" s="164"/>
      <c r="AF550" s="158">
        <f>IFERROR(SUMIF($C:$C,$V550,L:L),0)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v>0</v>
      </c>
      <c r="AM550" s="162"/>
      <c r="AN550" s="160">
        <f t="shared" si="82"/>
        <v>0</v>
      </c>
      <c r="AO550" s="349">
        <f t="shared" si="77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396" t="s">
        <v>19</v>
      </c>
      <c r="B551" s="3"/>
      <c r="C551" s="336" t="s">
        <v>490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271" t="s">
        <v>19</v>
      </c>
      <c r="W551" s="163"/>
      <c r="X551" s="157"/>
      <c r="Y551" s="164"/>
      <c r="Z551" s="158">
        <f>IFERROR(SUMIF($C:$C,$V551,F:F),0)</f>
        <v>0</v>
      </c>
      <c r="AA551" s="157"/>
      <c r="AB551" s="157"/>
      <c r="AC551" s="158"/>
      <c r="AD551" s="165"/>
      <c r="AE551" s="164"/>
      <c r="AF551" s="158">
        <f>IFERROR(SUMIF($C:$C,$V551,L:L),0)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v>0</v>
      </c>
      <c r="AM551" s="162"/>
      <c r="AN551" s="160">
        <f t="shared" si="82"/>
        <v>0</v>
      </c>
      <c r="AO551" s="349">
        <f t="shared" si="77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396" t="s">
        <v>19</v>
      </c>
      <c r="B552" s="3"/>
      <c r="C552" s="336" t="s">
        <v>490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IFERROR(SUMIF($C:$C,$V552,F:F),0)</f>
        <v>0</v>
      </c>
      <c r="AA552" s="157"/>
      <c r="AB552" s="157"/>
      <c r="AC552" s="158"/>
      <c r="AD552" s="165"/>
      <c r="AE552" s="164"/>
      <c r="AF552" s="158">
        <f>IFERROR(SUMIF($C:$C,$V552,L:L),0)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v>0</v>
      </c>
      <c r="AM552" s="162"/>
      <c r="AN552" s="160">
        <f t="shared" si="82"/>
        <v>0</v>
      </c>
      <c r="AO552" s="349">
        <f t="shared" si="77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396" t="s">
        <v>175</v>
      </c>
      <c r="B553" s="3"/>
      <c r="C553" s="336" t="s">
        <v>490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1" t="s">
        <v>175</v>
      </c>
      <c r="W553" s="170"/>
      <c r="X553" s="171" t="e">
        <f>Z553/+Z494</f>
        <v>#N/A</v>
      </c>
      <c r="Y553" s="170"/>
      <c r="Z553" s="172" t="e">
        <f>SUM(Z540:Z552)</f>
        <v>#N/A</v>
      </c>
      <c r="AA553" s="171"/>
      <c r="AB553" s="170"/>
      <c r="AC553" s="172"/>
      <c r="AD553" s="173">
        <f>AF553/AF494</f>
        <v>0.26590454674046676</v>
      </c>
      <c r="AE553" s="170"/>
      <c r="AF553" s="172">
        <f>SUM(AF540:AF552)</f>
        <v>125178.06999999999</v>
      </c>
      <c r="AG553" s="179"/>
      <c r="AH553" s="356" t="e">
        <f>SUM(AH540:AH552)</f>
        <v>#N/A</v>
      </c>
      <c r="AI553" s="171" t="e">
        <f>IF(Z553=0,0,AH553/Z553)</f>
        <v>#N/A</v>
      </c>
      <c r="AJ553" s="173">
        <f>AL553/AL494</f>
        <v>0.25450707536617301</v>
      </c>
      <c r="AK553" s="170"/>
      <c r="AL553" s="172">
        <f>SUM(AL540:AL552)</f>
        <v>200845.33</v>
      </c>
      <c r="AM553" s="180"/>
      <c r="AN553" s="175">
        <f t="shared" si="82"/>
        <v>-75667.259999999995</v>
      </c>
      <c r="AO553" s="357">
        <f t="shared" si="77"/>
        <v>-0.37674393524609212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396" t="s">
        <v>492</v>
      </c>
      <c r="B554" s="3"/>
      <c r="C554" s="336" t="s">
        <v>490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88">AF554-Z554</f>
        <v>0</v>
      </c>
      <c r="AI554" s="161"/>
      <c r="AJ554" s="165"/>
      <c r="AK554" s="157"/>
      <c r="AL554" s="158"/>
      <c r="AM554" s="194"/>
      <c r="AN554" s="160"/>
      <c r="AO554" s="359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396" t="s">
        <v>64</v>
      </c>
      <c r="B555" s="3"/>
      <c r="C555" s="336" t="s">
        <v>490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1" t="s">
        <v>64</v>
      </c>
      <c r="W555" s="170"/>
      <c r="X555" s="171" t="e">
        <f>Z555/+Z494</f>
        <v>#N/A</v>
      </c>
      <c r="Y555" s="170"/>
      <c r="Z555" s="172" t="e">
        <f>Z506+Z520+Z539+Z553</f>
        <v>#N/A</v>
      </c>
      <c r="AA555" s="171"/>
      <c r="AB555" s="170"/>
      <c r="AC555" s="172"/>
      <c r="AD555" s="173">
        <f>AF555/AF494</f>
        <v>1.0562974784901467</v>
      </c>
      <c r="AE555" s="170"/>
      <c r="AF555" s="172">
        <f>AF506+AF520+AF539+AF553</f>
        <v>497265.95999999996</v>
      </c>
      <c r="AG555" s="179"/>
      <c r="AH555" s="356" t="e">
        <f t="shared" si="88"/>
        <v>#N/A</v>
      </c>
      <c r="AI555" s="171" t="e">
        <f>AH555/Z555</f>
        <v>#N/A</v>
      </c>
      <c r="AJ555" s="173">
        <f>AL555/AL494</f>
        <v>0.92115487795472828</v>
      </c>
      <c r="AK555" s="170"/>
      <c r="AL555" s="172">
        <f>AL506+AL520+AL539+AL553</f>
        <v>726933.25000000012</v>
      </c>
      <c r="AM555" s="180"/>
      <c r="AN555" s="175">
        <f t="shared" ref="AN555:AN568" si="89">AF555-AL555</f>
        <v>-229667.29000000015</v>
      </c>
      <c r="AO555" s="346">
        <f t="shared" ref="AO555:AO568" si="90">IF(AL555=0,0,AN555/AL555)</f>
        <v>-0.31593999861747984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396" t="s">
        <v>176</v>
      </c>
      <c r="B556" s="3"/>
      <c r="C556" s="336" t="s">
        <v>490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 t="e">
        <v>#N/A</v>
      </c>
      <c r="AA556" s="195"/>
      <c r="AB556" s="196"/>
      <c r="AC556" s="183"/>
      <c r="AD556" s="197"/>
      <c r="AE556" s="196"/>
      <c r="AF556" s="183">
        <v>3910.6699999999942</v>
      </c>
      <c r="AG556" s="198"/>
      <c r="AH556" s="160" t="e">
        <f t="shared" si="88"/>
        <v>#N/A</v>
      </c>
      <c r="AI556" s="192" t="e">
        <f>IF(AH556=0,0,AH556/Z556)</f>
        <v>#N/A</v>
      </c>
      <c r="AJ556" s="197"/>
      <c r="AK556" s="196"/>
      <c r="AL556" s="183">
        <v>-19182.250000000036</v>
      </c>
      <c r="AM556" s="199"/>
      <c r="AN556" s="160">
        <f t="shared" si="89"/>
        <v>23092.920000000031</v>
      </c>
      <c r="AO556" s="349">
        <f t="shared" si="90"/>
        <v>-1.2038692019966368</v>
      </c>
      <c r="AP556" s="6"/>
      <c r="AQ556" s="387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396" t="s">
        <v>66</v>
      </c>
      <c r="B557" s="3"/>
      <c r="C557" s="336" t="s">
        <v>490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 t="e">
        <f t="shared" ref="Z557:Z563" si="91">+SUMIF($C:$C,$V557,F:F)</f>
        <v>#N/A</v>
      </c>
      <c r="AA557" s="190"/>
      <c r="AB557" s="160"/>
      <c r="AC557" s="158"/>
      <c r="AD557" s="202"/>
      <c r="AE557" s="360"/>
      <c r="AF557" s="158">
        <f t="shared" ref="AF557:AF563" si="92">+SUMIF($C:$C,$V557,L:L)</f>
        <v>0</v>
      </c>
      <c r="AG557" s="201"/>
      <c r="AH557" s="160" t="e">
        <f t="shared" si="88"/>
        <v>#N/A</v>
      </c>
      <c r="AI557" s="177" t="e">
        <f>IF(Z557=0,0,AH557/Z557)</f>
        <v>#N/A</v>
      </c>
      <c r="AJ557" s="202"/>
      <c r="AK557" s="360"/>
      <c r="AL557" s="158">
        <v>0</v>
      </c>
      <c r="AM557" s="202"/>
      <c r="AN557" s="160">
        <f t="shared" si="89"/>
        <v>0</v>
      </c>
      <c r="AO557" s="349">
        <f t="shared" si="90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396" t="s">
        <v>493</v>
      </c>
      <c r="B558" s="3"/>
      <c r="C558" s="336" t="s">
        <v>490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331</v>
      </c>
      <c r="W558" s="157"/>
      <c r="X558" s="157"/>
      <c r="Y558" s="157"/>
      <c r="Z558" s="158" t="e">
        <f t="shared" si="91"/>
        <v>#N/A</v>
      </c>
      <c r="AA558" s="190"/>
      <c r="AB558" s="191"/>
      <c r="AC558" s="158"/>
      <c r="AD558" s="200"/>
      <c r="AF558" s="158">
        <f t="shared" si="92"/>
        <v>35241.440000000002</v>
      </c>
      <c r="AG558" s="201"/>
      <c r="AH558" s="160" t="e">
        <f t="shared" si="88"/>
        <v>#N/A</v>
      </c>
      <c r="AI558" s="177" t="e">
        <f t="shared" ref="AI558:AI567" si="93">IF(AH558=0,0,AH558/Z558)</f>
        <v>#N/A</v>
      </c>
      <c r="AJ558" s="200"/>
      <c r="AL558" s="158">
        <v>25446.580000000016</v>
      </c>
      <c r="AM558" s="202"/>
      <c r="AN558" s="160">
        <f t="shared" si="89"/>
        <v>9794.859999999986</v>
      </c>
      <c r="AO558" s="349">
        <f t="shared" si="90"/>
        <v>0.38491852343222466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396" t="s">
        <v>186</v>
      </c>
      <c r="B559" s="3"/>
      <c r="C559" s="336" t="s">
        <v>490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186</v>
      </c>
      <c r="W559" s="157"/>
      <c r="X559" s="157"/>
      <c r="Y559" s="157"/>
      <c r="Z559" s="158" t="e">
        <f t="shared" si="91"/>
        <v>#N/A</v>
      </c>
      <c r="AA559" s="190"/>
      <c r="AB559" s="191"/>
      <c r="AC559" s="158"/>
      <c r="AD559" s="200"/>
      <c r="AE559" s="191"/>
      <c r="AF559" s="158">
        <f t="shared" si="92"/>
        <v>0</v>
      </c>
      <c r="AG559" s="201"/>
      <c r="AH559" s="160" t="e">
        <f t="shared" si="88"/>
        <v>#N/A</v>
      </c>
      <c r="AI559" s="177" t="e">
        <f t="shared" si="93"/>
        <v>#N/A</v>
      </c>
      <c r="AJ559" s="200"/>
      <c r="AK559" s="191"/>
      <c r="AL559" s="158">
        <v>0</v>
      </c>
      <c r="AM559" s="202"/>
      <c r="AN559" s="160">
        <f t="shared" si="89"/>
        <v>0</v>
      </c>
      <c r="AO559" s="349">
        <f t="shared" si="90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396" t="s">
        <v>65</v>
      </c>
      <c r="B560" s="3"/>
      <c r="C560" s="336" t="s">
        <v>490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 t="e">
        <f t="shared" si="91"/>
        <v>#N/A</v>
      </c>
      <c r="AA560" s="190"/>
      <c r="AB560" s="191"/>
      <c r="AC560" s="158"/>
      <c r="AD560" s="200"/>
      <c r="AE560" s="191"/>
      <c r="AF560" s="158">
        <f t="shared" si="92"/>
        <v>0</v>
      </c>
      <c r="AG560" s="201"/>
      <c r="AH560" s="160" t="e">
        <f t="shared" si="88"/>
        <v>#N/A</v>
      </c>
      <c r="AI560" s="177" t="e">
        <f t="shared" si="93"/>
        <v>#N/A</v>
      </c>
      <c r="AJ560" s="200"/>
      <c r="AK560" s="191"/>
      <c r="AL560" s="158">
        <v>0</v>
      </c>
      <c r="AM560" s="202"/>
      <c r="AN560" s="160">
        <f t="shared" si="89"/>
        <v>0</v>
      </c>
      <c r="AO560" s="349">
        <f t="shared" si="90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396" t="s">
        <v>266</v>
      </c>
      <c r="B561" s="3"/>
      <c r="C561" s="336" t="s">
        <v>490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266</v>
      </c>
      <c r="W561" s="157"/>
      <c r="X561" s="157"/>
      <c r="Y561" s="157"/>
      <c r="Z561" s="158" t="e">
        <f t="shared" si="91"/>
        <v>#N/A</v>
      </c>
      <c r="AA561" s="190"/>
      <c r="AB561" s="191"/>
      <c r="AC561" s="158"/>
      <c r="AD561" s="200"/>
      <c r="AE561" s="191"/>
      <c r="AF561" s="158">
        <f t="shared" si="92"/>
        <v>0</v>
      </c>
      <c r="AG561" s="201"/>
      <c r="AH561" s="160" t="e">
        <f t="shared" si="88"/>
        <v>#N/A</v>
      </c>
      <c r="AI561" s="177" t="e">
        <f t="shared" si="93"/>
        <v>#N/A</v>
      </c>
      <c r="AJ561" s="200"/>
      <c r="AK561" s="191"/>
      <c r="AL561" s="158">
        <v>0</v>
      </c>
      <c r="AM561" s="202"/>
      <c r="AN561" s="160">
        <f t="shared" si="89"/>
        <v>0</v>
      </c>
      <c r="AO561" s="349">
        <f t="shared" si="90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396" t="s">
        <v>268</v>
      </c>
      <c r="B562" s="3"/>
      <c r="C562" s="336" t="s">
        <v>490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268</v>
      </c>
      <c r="W562" s="157"/>
      <c r="X562" s="157"/>
      <c r="Y562" s="157"/>
      <c r="Z562" s="158" t="e">
        <f t="shared" si="91"/>
        <v>#N/A</v>
      </c>
      <c r="AA562" s="190"/>
      <c r="AB562" s="191"/>
      <c r="AC562" s="158"/>
      <c r="AD562" s="200"/>
      <c r="AE562" s="191"/>
      <c r="AF562" s="158">
        <f t="shared" si="92"/>
        <v>0</v>
      </c>
      <c r="AG562" s="201"/>
      <c r="AH562" s="160" t="e">
        <f t="shared" si="88"/>
        <v>#N/A</v>
      </c>
      <c r="AI562" s="177" t="e">
        <f t="shared" si="93"/>
        <v>#N/A</v>
      </c>
      <c r="AJ562" s="200"/>
      <c r="AK562" s="191"/>
      <c r="AL562" s="158">
        <v>0</v>
      </c>
      <c r="AM562" s="202"/>
      <c r="AN562" s="160">
        <f t="shared" si="89"/>
        <v>0</v>
      </c>
      <c r="AO562" s="349">
        <f t="shared" si="90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396" t="s">
        <v>77</v>
      </c>
      <c r="B563" s="3"/>
      <c r="C563" s="336" t="s">
        <v>490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 t="e">
        <f t="shared" si="91"/>
        <v>#N/A</v>
      </c>
      <c r="AA563" s="190"/>
      <c r="AB563" s="191"/>
      <c r="AC563" s="158"/>
      <c r="AD563" s="200"/>
      <c r="AE563" s="191"/>
      <c r="AF563" s="158">
        <f t="shared" si="92"/>
        <v>0</v>
      </c>
      <c r="AG563" s="201"/>
      <c r="AH563" s="160" t="e">
        <f t="shared" si="88"/>
        <v>#N/A</v>
      </c>
      <c r="AI563" s="177" t="e">
        <f t="shared" si="93"/>
        <v>#N/A</v>
      </c>
      <c r="AJ563" s="200"/>
      <c r="AK563" s="191"/>
      <c r="AL563" s="158">
        <v>0</v>
      </c>
      <c r="AM563" s="202"/>
      <c r="AN563" s="160">
        <f t="shared" si="89"/>
        <v>0</v>
      </c>
      <c r="AO563" s="349">
        <f t="shared" si="90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396" t="s">
        <v>19</v>
      </c>
      <c r="B564" s="3"/>
      <c r="C564" s="336" t="s">
        <v>490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 t="e">
        <v>#N/A</v>
      </c>
      <c r="AA564" s="157"/>
      <c r="AB564" s="157"/>
      <c r="AC564" s="158"/>
      <c r="AD564" s="165"/>
      <c r="AE564" s="164"/>
      <c r="AF564" s="158">
        <f>IFERROR(SUMIF($C:$C,$V564,L:L),0)</f>
        <v>0</v>
      </c>
      <c r="AG564" s="159"/>
      <c r="AH564" s="160" t="e">
        <f t="shared" si="88"/>
        <v>#N/A</v>
      </c>
      <c r="AI564" s="161" t="e">
        <f t="shared" si="93"/>
        <v>#N/A</v>
      </c>
      <c r="AJ564" s="165"/>
      <c r="AK564" s="164"/>
      <c r="AL564" s="158">
        <v>0</v>
      </c>
      <c r="AM564" s="202"/>
      <c r="AN564" s="160">
        <f t="shared" si="89"/>
        <v>0</v>
      </c>
      <c r="AO564" s="349">
        <f t="shared" si="90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396" t="s">
        <v>19</v>
      </c>
      <c r="B565" s="3"/>
      <c r="C565" s="336" t="s">
        <v>490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IFERROR(SUMIF($C:$C,$V565,F:F),0)</f>
        <v>0</v>
      </c>
      <c r="AA565" s="157"/>
      <c r="AB565" s="157"/>
      <c r="AC565" s="158"/>
      <c r="AD565" s="165"/>
      <c r="AE565" s="164"/>
      <c r="AF565" s="158">
        <f>IFERROR(SUMIF($C:$C,$V565,L:L),0)</f>
        <v>0</v>
      </c>
      <c r="AG565" s="159"/>
      <c r="AH565" s="160">
        <f t="shared" si="88"/>
        <v>0</v>
      </c>
      <c r="AI565" s="161">
        <f t="shared" si="93"/>
        <v>0</v>
      </c>
      <c r="AJ565" s="165"/>
      <c r="AK565" s="164"/>
      <c r="AL565" s="158">
        <v>0</v>
      </c>
      <c r="AM565" s="202"/>
      <c r="AN565" s="160">
        <f t="shared" si="89"/>
        <v>0</v>
      </c>
      <c r="AO565" s="349">
        <f t="shared" si="90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396" t="s">
        <v>19</v>
      </c>
      <c r="B566" s="3"/>
      <c r="C566" s="336" t="s">
        <v>490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IFERROR(SUMIF($C:$C,$V566,F:F),0)</f>
        <v>0</v>
      </c>
      <c r="AA566" s="157"/>
      <c r="AB566" s="157"/>
      <c r="AC566" s="158"/>
      <c r="AD566" s="165"/>
      <c r="AE566" s="164"/>
      <c r="AF566" s="158">
        <f>IFERROR(SUMIF($C:$C,$V566,L:L),0)</f>
        <v>0</v>
      </c>
      <c r="AG566" s="159"/>
      <c r="AH566" s="160">
        <f t="shared" si="88"/>
        <v>0</v>
      </c>
      <c r="AI566" s="161">
        <f t="shared" si="93"/>
        <v>0</v>
      </c>
      <c r="AJ566" s="165"/>
      <c r="AK566" s="164"/>
      <c r="AL566" s="158">
        <v>0</v>
      </c>
      <c r="AM566" s="202"/>
      <c r="AN566" s="160">
        <f t="shared" si="89"/>
        <v>0</v>
      </c>
      <c r="AO566" s="349">
        <f t="shared" si="90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396" t="s">
        <v>67</v>
      </c>
      <c r="B567" s="3"/>
      <c r="C567" s="336" t="s">
        <v>490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 t="e">
        <f>+SUMIF($C:$C,$V567,F:F)</f>
        <v>#N/A</v>
      </c>
      <c r="AA567" s="190"/>
      <c r="AB567" s="191"/>
      <c r="AC567" s="158"/>
      <c r="AD567" s="361">
        <f>AF567/499</f>
        <v>49.118917835671333</v>
      </c>
      <c r="AE567" s="190">
        <f>(AF567/399)/(J13+J15+J97)</f>
        <v>0.79778472154411995</v>
      </c>
      <c r="AF567" s="158">
        <f>+SUMIF($C:$C,$V567,L:L)</f>
        <v>24510.339999999997</v>
      </c>
      <c r="AG567" s="201"/>
      <c r="AH567" s="160" t="e">
        <f t="shared" si="88"/>
        <v>#N/A</v>
      </c>
      <c r="AI567" s="177" t="e">
        <f t="shared" si="93"/>
        <v>#N/A</v>
      </c>
      <c r="AJ567" s="361">
        <f>AL567/499</f>
        <v>0</v>
      </c>
      <c r="AK567" s="190">
        <f>(AL567/399)/(P13+P15+P97)</f>
        <v>0</v>
      </c>
      <c r="AL567" s="158">
        <v>0</v>
      </c>
      <c r="AM567" s="202"/>
      <c r="AN567" s="160">
        <f t="shared" si="89"/>
        <v>24510.339999999997</v>
      </c>
      <c r="AO567" s="349">
        <f t="shared" si="90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396" t="s">
        <v>177</v>
      </c>
      <c r="B568" s="3"/>
      <c r="C568" s="336" t="s">
        <v>490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1" t="s">
        <v>177</v>
      </c>
      <c r="W568" s="170"/>
      <c r="X568" s="171" t="e">
        <f>Z568/+Z494</f>
        <v>#N/A</v>
      </c>
      <c r="Y568" s="189"/>
      <c r="Z568" s="172" t="e">
        <f>SUM(Z556:Z567)</f>
        <v>#N/A</v>
      </c>
      <c r="AA568" s="171"/>
      <c r="AB568" s="189"/>
      <c r="AC568" s="172"/>
      <c r="AD568" s="171">
        <f>AF568/+AF494</f>
        <v>0.13523243257894635</v>
      </c>
      <c r="AE568" s="189"/>
      <c r="AF568" s="172">
        <f>SUM(AF556:AF567)</f>
        <v>63662.44999999999</v>
      </c>
      <c r="AG568" s="179"/>
      <c r="AH568" s="175" t="e">
        <f t="shared" si="88"/>
        <v>#N/A</v>
      </c>
      <c r="AI568" s="171" t="e">
        <f>AH568/Z568</f>
        <v>#N/A</v>
      </c>
      <c r="AJ568" s="171">
        <f>AL568/+AL494</f>
        <v>7.9380302615379393E-3</v>
      </c>
      <c r="AK568" s="189"/>
      <c r="AL568" s="172">
        <f>SUM(AL556:AL567)</f>
        <v>6264.3299999999799</v>
      </c>
      <c r="AM568" s="203"/>
      <c r="AN568" s="175">
        <f t="shared" si="89"/>
        <v>57398.12000000001</v>
      </c>
      <c r="AO568" s="357">
        <f t="shared" si="90"/>
        <v>9.162690982116235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396" t="s">
        <v>492</v>
      </c>
      <c r="B569" s="3"/>
      <c r="C569" s="336" t="s">
        <v>490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2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3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396" t="s">
        <v>178</v>
      </c>
      <c r="B570" s="3"/>
      <c r="C570" s="336" t="s">
        <v>490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#N/A</v>
      </c>
      <c r="Z570" s="241" t="e">
        <f>Z494-Z555+Z568</f>
        <v>#N/A</v>
      </c>
      <c r="AA570" s="239"/>
      <c r="AB570" s="240"/>
      <c r="AC570" s="241"/>
      <c r="AD570" s="239" t="s">
        <v>179</v>
      </c>
      <c r="AE570" s="240">
        <f>AF570/AF493</f>
        <v>2.6640060589898356E-3</v>
      </c>
      <c r="AF570" s="241">
        <f>AF494-AF555+AF568</f>
        <v>37159.66999999711</v>
      </c>
      <c r="AG570" s="243"/>
      <c r="AH570" s="243" t="e">
        <f>AF570-Z570</f>
        <v>#N/A</v>
      </c>
      <c r="AI570" s="244" t="e">
        <f>AH570/Z570</f>
        <v>#N/A</v>
      </c>
      <c r="AJ570" s="239" t="s">
        <v>179</v>
      </c>
      <c r="AK570" s="240">
        <f>AL570/AL493</f>
        <v>3.6459318245816975E-3</v>
      </c>
      <c r="AL570" s="241">
        <f>AL494-AL555+AL568</f>
        <v>68485.289999989123</v>
      </c>
      <c r="AM570" s="245"/>
      <c r="AN570" s="242">
        <f>AF570-AL570</f>
        <v>-31325.619999992014</v>
      </c>
      <c r="AO570" s="364">
        <f>IF(AL570=0,0,AN570/AL570)</f>
        <v>-0.45740654671969688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396" t="s">
        <v>492</v>
      </c>
      <c r="B571" s="3"/>
      <c r="C571" s="336" t="s">
        <v>490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396" t="s">
        <v>494</v>
      </c>
      <c r="B572" s="3"/>
      <c r="C572" s="336" t="s">
        <v>490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5" t="str">
        <f>C1</f>
        <v>Ste-Marie Auto</v>
      </c>
      <c r="W572" s="365"/>
      <c r="X572" s="365"/>
      <c r="Y572" s="365"/>
      <c r="Z572" s="365"/>
      <c r="AA572" s="365"/>
      <c r="AB572" s="365"/>
      <c r="AC572" s="365"/>
      <c r="AD572" s="365"/>
      <c r="AE572" s="366" t="s">
        <v>180</v>
      </c>
      <c r="AF572" s="365"/>
      <c r="AG572" s="365"/>
      <c r="AH572" s="365"/>
      <c r="AI572" s="365"/>
      <c r="AJ572" s="365"/>
      <c r="AK572" s="366"/>
      <c r="AL572" s="365"/>
      <c r="AM572" s="365"/>
      <c r="AN572" s="365"/>
      <c r="AO572" s="367" t="str">
        <f>$S$1</f>
        <v>Réalisé, Aout 2026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396" t="s">
        <v>492</v>
      </c>
      <c r="B573" s="3"/>
      <c r="C573" s="336" t="s">
        <v>490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396" t="s">
        <v>492</v>
      </c>
      <c r="B574" s="3"/>
      <c r="C574" s="336" t="s">
        <v>490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396" t="s">
        <v>492</v>
      </c>
      <c r="B575" s="3"/>
      <c r="C575" s="336" t="s">
        <v>490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207</v>
      </c>
      <c r="W575" s="238"/>
      <c r="X575" s="239" t="s">
        <v>179</v>
      </c>
      <c r="Y575" s="240" t="e">
        <f>Z575/Z493</f>
        <v>#N/A</v>
      </c>
      <c r="Z575" s="242" t="e">
        <f>Z576+Z502</f>
        <v>#N/A</v>
      </c>
      <c r="AA575" s="239"/>
      <c r="AB575" s="240"/>
      <c r="AC575" s="241"/>
      <c r="AD575" s="239" t="s">
        <v>179</v>
      </c>
      <c r="AE575" s="240">
        <f>AF575/AF493</f>
        <v>5.8079088253176533E-3</v>
      </c>
      <c r="AF575" s="242">
        <f>AF576+AF502</f>
        <v>81013.319999997155</v>
      </c>
      <c r="AG575" s="243"/>
      <c r="AH575" s="243" t="e">
        <f t="shared" ref="AH575" si="94">AF575-Z575</f>
        <v>#N/A</v>
      </c>
      <c r="AI575" s="244" t="e">
        <f>AH575/Z575</f>
        <v>#N/A</v>
      </c>
      <c r="AJ575" s="239" t="s">
        <v>179</v>
      </c>
      <c r="AK575" s="240">
        <f>IF($AL$493=0,0,AL575/$AL$493)</f>
        <v>8.8212394626782011E-3</v>
      </c>
      <c r="AL575" s="242">
        <f>AL576+AL502</f>
        <v>165698.41999998913</v>
      </c>
      <c r="AM575" s="245"/>
      <c r="AN575" s="242">
        <f t="shared" ref="AN575:AN585" si="95">AF575-AL575</f>
        <v>-84685.099999991973</v>
      </c>
      <c r="AO575" s="246">
        <f t="shared" ref="AO575:AO585" si="96">IF(AL575=0,0,AN575/AL575)</f>
        <v>-0.5110797073381721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396" t="s">
        <v>178</v>
      </c>
      <c r="B576" s="3"/>
      <c r="C576" s="336" t="s">
        <v>490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#N/A</v>
      </c>
      <c r="Z576" s="241" t="e">
        <f>Z570</f>
        <v>#N/A</v>
      </c>
      <c r="AA576" s="239"/>
      <c r="AB576" s="240"/>
      <c r="AC576" s="241"/>
      <c r="AD576" s="239" t="s">
        <v>179</v>
      </c>
      <c r="AE576" s="240">
        <f>AF576/AF493</f>
        <v>2.6640060589898356E-3</v>
      </c>
      <c r="AF576" s="241">
        <f>AF570</f>
        <v>37159.66999999711</v>
      </c>
      <c r="AG576" s="242"/>
      <c r="AH576" s="243" t="e">
        <f>AF576-Z576</f>
        <v>#N/A</v>
      </c>
      <c r="AI576" s="244" t="e">
        <f>AH576/Z576</f>
        <v>#N/A</v>
      </c>
      <c r="AJ576" s="239" t="s">
        <v>179</v>
      </c>
      <c r="AK576" s="240">
        <f>IF($AL$493=0,0,AL576/$AL$493)</f>
        <v>3.6459318245816975E-3</v>
      </c>
      <c r="AL576" s="241">
        <f>AL570</f>
        <v>68485.289999989123</v>
      </c>
      <c r="AM576" s="368"/>
      <c r="AN576" s="369">
        <f t="shared" si="95"/>
        <v>-31325.619999992014</v>
      </c>
      <c r="AO576" s="370">
        <f t="shared" si="96"/>
        <v>-0.45740654671969688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396" t="s">
        <v>492</v>
      </c>
      <c r="B577" s="3"/>
      <c r="C577" s="336" t="s">
        <v>490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8"/>
      <c r="U577" s="6"/>
      <c r="V577" s="371"/>
      <c r="W577" s="6"/>
      <c r="X577" s="6"/>
      <c r="Y577" s="6"/>
      <c r="Z577" s="372"/>
      <c r="AA577" s="6"/>
      <c r="AB577" s="6"/>
      <c r="AC577" s="6"/>
      <c r="AD577" s="388"/>
      <c r="AE577" s="6"/>
      <c r="AF577" s="372"/>
      <c r="AG577" s="6"/>
      <c r="AH577" s="6"/>
      <c r="AI577" s="373"/>
      <c r="AJ577" s="6"/>
      <c r="AK577" s="6"/>
      <c r="AL577" s="372"/>
      <c r="AM577" s="212"/>
      <c r="AN577" s="97"/>
      <c r="AO577" s="374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396" t="s">
        <v>181</v>
      </c>
      <c r="B578" s="3"/>
      <c r="C578" s="336" t="s">
        <v>490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 t="e">
        <v>#N/A</v>
      </c>
      <c r="AA578" s="157"/>
      <c r="AB578" s="164"/>
      <c r="AC578" s="160"/>
      <c r="AD578" s="389"/>
      <c r="AE578" s="164"/>
      <c r="AF578" s="158">
        <v>10810</v>
      </c>
      <c r="AG578" s="157"/>
      <c r="AH578" s="160" t="e">
        <f t="shared" ref="AH578:AH585" si="97">AF578-Z578</f>
        <v>#N/A</v>
      </c>
      <c r="AI578" s="177" t="e">
        <f t="shared" ref="AI578:AI584" si="98">IF(Z578=0,0,AH578/Z578)</f>
        <v>#N/A</v>
      </c>
      <c r="AJ578" s="157"/>
      <c r="AK578" s="164"/>
      <c r="AL578" s="158">
        <v>10790.13</v>
      </c>
      <c r="AM578" s="162"/>
      <c r="AN578" s="160">
        <f t="shared" si="95"/>
        <v>19.8700000000008</v>
      </c>
      <c r="AO578" s="349">
        <f t="shared" si="96"/>
        <v>1.8414977391376008E-3</v>
      </c>
      <c r="AP578" s="6"/>
      <c r="AQ578" s="6">
        <v>10810</v>
      </c>
      <c r="AR578" s="6" t="s">
        <v>497</v>
      </c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396" t="s">
        <v>182</v>
      </c>
      <c r="B579" s="3"/>
      <c r="C579" s="336" t="s">
        <v>490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 t="e">
        <v>#N/A</v>
      </c>
      <c r="AA579" s="6"/>
      <c r="AB579" s="6"/>
      <c r="AC579" s="160"/>
      <c r="AD579" s="390"/>
      <c r="AE579" s="7"/>
      <c r="AF579" s="158">
        <v>0</v>
      </c>
      <c r="AG579" s="6"/>
      <c r="AH579" s="160" t="e">
        <f t="shared" si="97"/>
        <v>#N/A</v>
      </c>
      <c r="AI579" s="177" t="e">
        <f t="shared" si="98"/>
        <v>#N/A</v>
      </c>
      <c r="AJ579" s="6"/>
      <c r="AK579" s="7"/>
      <c r="AL579" s="158">
        <v>0</v>
      </c>
      <c r="AM579" s="212"/>
      <c r="AN579" s="160">
        <f t="shared" si="95"/>
        <v>0</v>
      </c>
      <c r="AO579" s="349">
        <f t="shared" si="96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396" t="s">
        <v>183</v>
      </c>
      <c r="B580" s="3"/>
      <c r="C580" s="336" t="s">
        <v>490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 t="e">
        <v>#N/A</v>
      </c>
      <c r="AA580" s="6"/>
      <c r="AB580" s="6"/>
      <c r="AC580" s="160"/>
      <c r="AD580" s="390"/>
      <c r="AE580" s="7"/>
      <c r="AF580" s="158">
        <v>7941.2200000000012</v>
      </c>
      <c r="AG580" s="6"/>
      <c r="AH580" s="160" t="e">
        <f t="shared" si="97"/>
        <v>#N/A</v>
      </c>
      <c r="AI580" s="177" t="e">
        <f t="shared" si="98"/>
        <v>#N/A</v>
      </c>
      <c r="AJ580" s="6"/>
      <c r="AK580" s="7"/>
      <c r="AL580" s="158">
        <v>0</v>
      </c>
      <c r="AM580" s="212"/>
      <c r="AN580" s="160">
        <f t="shared" si="95"/>
        <v>7941.2200000000012</v>
      </c>
      <c r="AO580" s="349">
        <f t="shared" si="96"/>
        <v>0</v>
      </c>
      <c r="AP580" s="6"/>
      <c r="AQ580" s="6">
        <v>7941</v>
      </c>
      <c r="AR580" s="97">
        <f>AQ580-AF580</f>
        <v>-0.22000000000116415</v>
      </c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396" t="s">
        <v>184</v>
      </c>
      <c r="B581" s="3"/>
      <c r="C581" s="336" t="s">
        <v>490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 t="e">
        <v>#N/A</v>
      </c>
      <c r="AA581" s="6"/>
      <c r="AB581" s="6"/>
      <c r="AC581" s="160"/>
      <c r="AD581" s="390"/>
      <c r="AE581" s="7"/>
      <c r="AF581" s="158">
        <v>0</v>
      </c>
      <c r="AG581" s="6"/>
      <c r="AH581" s="160" t="e">
        <f t="shared" si="97"/>
        <v>#N/A</v>
      </c>
      <c r="AI581" s="177" t="e">
        <f t="shared" si="98"/>
        <v>#N/A</v>
      </c>
      <c r="AJ581" s="6"/>
      <c r="AK581" s="7"/>
      <c r="AL581" s="158">
        <v>0</v>
      </c>
      <c r="AM581" s="212"/>
      <c r="AN581" s="160">
        <f t="shared" si="95"/>
        <v>0</v>
      </c>
      <c r="AO581" s="349">
        <f t="shared" si="96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396" t="s">
        <v>19</v>
      </c>
      <c r="B582" s="3"/>
      <c r="C582" s="336" t="s">
        <v>490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60"/>
      <c r="AD582" s="389"/>
      <c r="AE582" s="164"/>
      <c r="AF582" s="158">
        <f>IFERROR(SUMIF($C:$C,$V582,L:L),0)</f>
        <v>0</v>
      </c>
      <c r="AG582" s="159"/>
      <c r="AH582" s="160">
        <f t="shared" si="97"/>
        <v>0</v>
      </c>
      <c r="AI582" s="161">
        <f t="shared" si="98"/>
        <v>0</v>
      </c>
      <c r="AJ582" s="165"/>
      <c r="AK582" s="164"/>
      <c r="AL582" s="158">
        <v>0</v>
      </c>
      <c r="AM582" s="212"/>
      <c r="AN582" s="160">
        <f t="shared" si="95"/>
        <v>0</v>
      </c>
      <c r="AO582" s="349">
        <f t="shared" si="96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6" t="s">
        <v>490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206</v>
      </c>
      <c r="W583" s="7"/>
      <c r="X583" s="7"/>
      <c r="Y583" s="7"/>
      <c r="Z583" s="158" t="e">
        <v>#N/A</v>
      </c>
      <c r="AA583" s="157"/>
      <c r="AB583" s="157"/>
      <c r="AC583" s="160"/>
      <c r="AD583" s="389"/>
      <c r="AE583" s="164"/>
      <c r="AF583" s="158">
        <v>0</v>
      </c>
      <c r="AG583" s="159"/>
      <c r="AH583" s="160" t="e">
        <f t="shared" si="97"/>
        <v>#N/A</v>
      </c>
      <c r="AI583" s="161" t="e">
        <f t="shared" si="98"/>
        <v>#N/A</v>
      </c>
      <c r="AJ583" s="165"/>
      <c r="AK583" s="164"/>
      <c r="AL583" s="158">
        <v>0</v>
      </c>
      <c r="AM583" s="212"/>
      <c r="AN583" s="160">
        <f t="shared" si="95"/>
        <v>0</v>
      </c>
      <c r="AO583" s="349">
        <f t="shared" si="96"/>
        <v>0</v>
      </c>
      <c r="AP583" s="6"/>
      <c r="AQ583" s="6">
        <v>-50.68</v>
      </c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396" t="s">
        <v>19</v>
      </c>
      <c r="B584" s="3"/>
      <c r="C584" s="336" t="s">
        <v>490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97"/>
        <v>0</v>
      </c>
      <c r="AI584" s="161">
        <f t="shared" si="98"/>
        <v>0</v>
      </c>
      <c r="AJ584" s="165"/>
      <c r="AK584" s="164"/>
      <c r="AL584" s="158">
        <v>0</v>
      </c>
      <c r="AM584" s="212"/>
      <c r="AN584" s="160">
        <f t="shared" si="95"/>
        <v>0</v>
      </c>
      <c r="AO584" s="349">
        <f t="shared" si="96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396" t="s">
        <v>185</v>
      </c>
      <c r="B585" s="3"/>
      <c r="C585" s="336" t="s">
        <v>490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#N/A</v>
      </c>
      <c r="Z585" s="241" t="e">
        <f>Z576-Z578-Z579-Z580-Z584-Z583</f>
        <v>#N/A</v>
      </c>
      <c r="AA585" s="239"/>
      <c r="AB585" s="240"/>
      <c r="AC585" s="241"/>
      <c r="AD585" s="239" t="s">
        <v>179</v>
      </c>
      <c r="AE585" s="240">
        <f>AF585/AF493</f>
        <v>1.3197163036326089E-3</v>
      </c>
      <c r="AF585" s="241">
        <f>AF576-AF578-AF579-AF580-AF584-AF583</f>
        <v>18408.449999997109</v>
      </c>
      <c r="AG585" s="243"/>
      <c r="AH585" s="243" t="e">
        <f t="shared" si="97"/>
        <v>#N/A</v>
      </c>
      <c r="AI585" s="244" t="e">
        <f>AH585/Z585</f>
        <v>#N/A</v>
      </c>
      <c r="AJ585" s="239" t="s">
        <v>179</v>
      </c>
      <c r="AK585" s="240">
        <f>IF($AL$493=0,0,AL585/$AL$493)</f>
        <v>3.0715007553932636E-3</v>
      </c>
      <c r="AL585" s="241">
        <f>AL576-AL578-AL579-AL580-AL584-AL583</f>
        <v>57695.159999989126</v>
      </c>
      <c r="AM585" s="245"/>
      <c r="AN585" s="242">
        <f t="shared" si="95"/>
        <v>-39286.709999992017</v>
      </c>
      <c r="AO585" s="246">
        <f t="shared" si="96"/>
        <v>-0.68093597452540944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396" t="s">
        <v>492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V589" s="6" t="s">
        <v>498</v>
      </c>
      <c r="W589" s="6"/>
      <c r="X589" s="6"/>
      <c r="Y589" s="6"/>
      <c r="Z589" s="97"/>
      <c r="AA589" s="6"/>
      <c r="AB589" s="6"/>
      <c r="AC589" s="97"/>
      <c r="AE589" s="176"/>
      <c r="AF589" s="176">
        <v>18408.45</v>
      </c>
      <c r="AG589" s="6"/>
      <c r="AH589" s="6"/>
      <c r="AI589" s="6"/>
      <c r="AJ589" s="375"/>
      <c r="AK589" s="376"/>
      <c r="AL589" s="377">
        <v>57693</v>
      </c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97"/>
      <c r="AA590" s="6"/>
      <c r="AB590" s="6"/>
      <c r="AC590" s="97"/>
      <c r="AD590" s="6"/>
      <c r="AE590" s="6"/>
      <c r="AF590" s="176"/>
      <c r="AG590" s="6"/>
      <c r="AH590" s="6"/>
      <c r="AI590" s="6"/>
      <c r="AJ590" s="6"/>
      <c r="AL590" s="377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AE591" s="6"/>
      <c r="AF591" s="378">
        <f>AF589-AF585</f>
        <v>2.8921931516379118E-9</v>
      </c>
      <c r="AL591" s="378">
        <f>AL589-AL585</f>
        <v>-2.1599999891259358</v>
      </c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V595" s="396" t="s">
        <v>515</v>
      </c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F597" s="337">
        <f>AF585+AF595</f>
        <v>18408.449999997109</v>
      </c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0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0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0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</sheetData>
  <mergeCells count="48"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  <mergeCell ref="D369:F369"/>
    <mergeCell ref="G369:I369"/>
    <mergeCell ref="J369:L369"/>
    <mergeCell ref="R171:S171"/>
    <mergeCell ref="D171:F171"/>
    <mergeCell ref="G171:I171"/>
    <mergeCell ref="J171:L171"/>
    <mergeCell ref="M171:N171"/>
    <mergeCell ref="O171:Q171"/>
    <mergeCell ref="M369:N369"/>
    <mergeCell ref="O369:Q369"/>
    <mergeCell ref="R369:S369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D434:F434"/>
    <mergeCell ref="G434:I434"/>
    <mergeCell ref="J434:L434"/>
    <mergeCell ref="M434:N434"/>
    <mergeCell ref="O434:Q434"/>
    <mergeCell ref="AJ491:AL491"/>
    <mergeCell ref="AM491:AO491"/>
    <mergeCell ref="R434:S434"/>
    <mergeCell ref="X491:Z491"/>
    <mergeCell ref="AA491:AC491"/>
    <mergeCell ref="AD491:AF491"/>
    <mergeCell ref="AG491:AI491"/>
  </mergeCells>
  <conditionalFormatting sqref="D113 H180:L181 I184:L185">
    <cfRule type="expression" dxfId="506" priority="137" stopIfTrue="1">
      <formula>"esterreur(reference)"</formula>
    </cfRule>
  </conditionalFormatting>
  <conditionalFormatting sqref="D246:D255">
    <cfRule type="expression" dxfId="505" priority="167" stopIfTrue="1">
      <formula>"esterreur(reference)"</formula>
    </cfRule>
  </conditionalFormatting>
  <conditionalFormatting sqref="D487">
    <cfRule type="expression" dxfId="504" priority="139" stopIfTrue="1">
      <formula>"esterreur(reference)"</formula>
    </cfRule>
  </conditionalFormatting>
  <conditionalFormatting sqref="D186:E192">
    <cfRule type="expression" dxfId="503" priority="110" stopIfTrue="1">
      <formula>"esterreur(reference)"</formula>
    </cfRule>
  </conditionalFormatting>
  <conditionalFormatting sqref="E260">
    <cfRule type="expression" dxfId="502" priority="168" stopIfTrue="1">
      <formula>"esterreur(reference)"</formula>
    </cfRule>
  </conditionalFormatting>
  <conditionalFormatting sqref="F5">
    <cfRule type="expression" dxfId="501" priority="165" stopIfTrue="1">
      <formula>"esterreur(reference)"</formula>
    </cfRule>
  </conditionalFormatting>
  <conditionalFormatting sqref="F84">
    <cfRule type="expression" dxfId="500" priority="164" stopIfTrue="1">
      <formula>"esterreur(reference)"</formula>
    </cfRule>
  </conditionalFormatting>
  <conditionalFormatting sqref="F102">
    <cfRule type="expression" dxfId="499" priority="169" stopIfTrue="1">
      <formula>"esterreur(reference)"</formula>
    </cfRule>
  </conditionalFormatting>
  <conditionalFormatting sqref="F258">
    <cfRule type="expression" dxfId="498" priority="156" stopIfTrue="1">
      <formula>"esterreur(reference)"</formula>
    </cfRule>
  </conditionalFormatting>
  <conditionalFormatting sqref="G31:G32">
    <cfRule type="expression" dxfId="497" priority="162" stopIfTrue="1">
      <formula>"esterreur(reference)"</formula>
    </cfRule>
  </conditionalFormatting>
  <conditionalFormatting sqref="G113:G114">
    <cfRule type="expression" dxfId="496" priority="159" stopIfTrue="1">
      <formula>"esterreur(reference)"</formula>
    </cfRule>
  </conditionalFormatting>
  <conditionalFormatting sqref="G186:G187">
    <cfRule type="expression" dxfId="495" priority="115" stopIfTrue="1">
      <formula>"esterreur(reference)"</formula>
    </cfRule>
  </conditionalFormatting>
  <conditionalFormatting sqref="G246:G255">
    <cfRule type="expression" dxfId="494" priority="166" stopIfTrue="1">
      <formula>"esterreur(reference)"</formula>
    </cfRule>
  </conditionalFormatting>
  <conditionalFormatting sqref="H25:H26 H28:H72">
    <cfRule type="expression" dxfId="493" priority="161" stopIfTrue="1">
      <formula>"esterreur(reference)"</formula>
    </cfRule>
  </conditionalFormatting>
  <conditionalFormatting sqref="H74">
    <cfRule type="expression" dxfId="492" priority="92" stopIfTrue="1">
      <formula>"esterreur(reference)"</formula>
    </cfRule>
  </conditionalFormatting>
  <conditionalFormatting sqref="H83">
    <cfRule type="expression" dxfId="491" priority="89" stopIfTrue="1">
      <formula>"esterreur(reference)"</formula>
    </cfRule>
  </conditionalFormatting>
  <conditionalFormatting sqref="H85">
    <cfRule type="expression" dxfId="490" priority="28" stopIfTrue="1">
      <formula>"esterreur(reference)"</formula>
    </cfRule>
  </conditionalFormatting>
  <conditionalFormatting sqref="H110:H154">
    <cfRule type="expression" dxfId="489" priority="23" stopIfTrue="1">
      <formula>"esterreur(reference)"</formula>
    </cfRule>
  </conditionalFormatting>
  <conditionalFormatting sqref="H156:H158">
    <cfRule type="expression" dxfId="488" priority="85" stopIfTrue="1">
      <formula>"esterreur(reference)"</formula>
    </cfRule>
  </conditionalFormatting>
  <conditionalFormatting sqref="H164">
    <cfRule type="expression" dxfId="487" priority="82" stopIfTrue="1">
      <formula>"esterreur(reference)"</formula>
    </cfRule>
  </conditionalFormatting>
  <conditionalFormatting sqref="H166">
    <cfRule type="expression" dxfId="486" priority="31" stopIfTrue="1">
      <formula>"esterreur(reference)"</formula>
    </cfRule>
  </conditionalFormatting>
  <conditionalFormatting sqref="H183:H227">
    <cfRule type="expression" dxfId="485" priority="19" stopIfTrue="1">
      <formula>"esterreur(reference)"</formula>
    </cfRule>
  </conditionalFormatting>
  <conditionalFormatting sqref="H229:H231">
    <cfRule type="expression" dxfId="484" priority="76" stopIfTrue="1">
      <formula>"esterreur(reference)"</formula>
    </cfRule>
  </conditionalFormatting>
  <conditionalFormatting sqref="H237">
    <cfRule type="expression" dxfId="483" priority="73" stopIfTrue="1">
      <formula>"esterreur(reference)"</formula>
    </cfRule>
  </conditionalFormatting>
  <conditionalFormatting sqref="H239">
    <cfRule type="expression" dxfId="482" priority="34" stopIfTrue="1">
      <formula>"esterreur(reference)"</formula>
    </cfRule>
  </conditionalFormatting>
  <conditionalFormatting sqref="H269">
    <cfRule type="expression" dxfId="481" priority="16" stopIfTrue="1">
      <formula>"esterreur(reference)"</formula>
    </cfRule>
  </conditionalFormatting>
  <conditionalFormatting sqref="H272:H303">
    <cfRule type="expression" dxfId="480" priority="70" stopIfTrue="1">
      <formula>"esterreur(reference)"</formula>
    </cfRule>
  </conditionalFormatting>
  <conditionalFormatting sqref="H305">
    <cfRule type="expression" dxfId="479" priority="68" stopIfTrue="1">
      <formula>"esterreur(reference)"</formula>
    </cfRule>
  </conditionalFormatting>
  <conditionalFormatting sqref="H307">
    <cfRule type="expression" dxfId="478" priority="37" stopIfTrue="1">
      <formula>"esterreur(reference)"</formula>
    </cfRule>
  </conditionalFormatting>
  <conditionalFormatting sqref="H327">
    <cfRule type="expression" dxfId="477" priority="12" stopIfTrue="1">
      <formula>"esterreur(reference)"</formula>
    </cfRule>
  </conditionalFormatting>
  <conditionalFormatting sqref="H330:H361">
    <cfRule type="expression" dxfId="476" priority="64" stopIfTrue="1">
      <formula>"esterreur(reference)"</formula>
    </cfRule>
  </conditionalFormatting>
  <conditionalFormatting sqref="H363">
    <cfRule type="expression" dxfId="475" priority="62" stopIfTrue="1">
      <formula>"esterreur(reference)"</formula>
    </cfRule>
  </conditionalFormatting>
  <conditionalFormatting sqref="H365">
    <cfRule type="expression" dxfId="474" priority="40" stopIfTrue="1">
      <formula>"esterreur(reference)"</formula>
    </cfRule>
  </conditionalFormatting>
  <conditionalFormatting sqref="H391">
    <cfRule type="expression" dxfId="473" priority="9" stopIfTrue="1">
      <formula>"esterreur(reference)"</formula>
    </cfRule>
  </conditionalFormatting>
  <conditionalFormatting sqref="H394:H425">
    <cfRule type="expression" dxfId="472" priority="59" stopIfTrue="1">
      <formula>"esterreur(reference)"</formula>
    </cfRule>
  </conditionalFormatting>
  <conditionalFormatting sqref="H427">
    <cfRule type="expression" dxfId="471" priority="57" stopIfTrue="1">
      <formula>"esterreur(reference)"</formula>
    </cfRule>
  </conditionalFormatting>
  <conditionalFormatting sqref="H429:H431">
    <cfRule type="expression" dxfId="470" priority="43" stopIfTrue="1">
      <formula>"esterreur(reference)"</formula>
    </cfRule>
  </conditionalFormatting>
  <conditionalFormatting sqref="H449">
    <cfRule type="expression" dxfId="469" priority="5" stopIfTrue="1">
      <formula>"esterreur(reference)"</formula>
    </cfRule>
  </conditionalFormatting>
  <conditionalFormatting sqref="H452:H482">
    <cfRule type="expression" dxfId="468" priority="52" stopIfTrue="1">
      <formula>"esterreur(reference)"</formula>
    </cfRule>
  </conditionalFormatting>
  <conditionalFormatting sqref="H484">
    <cfRule type="expression" dxfId="467" priority="49" stopIfTrue="1">
      <formula>"esterreur(reference)"</formula>
    </cfRule>
  </conditionalFormatting>
  <conditionalFormatting sqref="H486:H487">
    <cfRule type="expression" dxfId="466" priority="46" stopIfTrue="1">
      <formula>"esterreur(reference)"</formula>
    </cfRule>
  </conditionalFormatting>
  <conditionalFormatting sqref="H433:I433 K433:L433 J433:J434">
    <cfRule type="expression" dxfId="465" priority="146" stopIfTrue="1">
      <formula>"esterreur(reference)"</formula>
    </cfRule>
  </conditionalFormatting>
  <conditionalFormatting sqref="H317:J317">
    <cfRule type="expression" dxfId="464" priority="133" stopIfTrue="1">
      <formula>"esterreur(reference)"</formula>
    </cfRule>
  </conditionalFormatting>
  <conditionalFormatting sqref="H439:J439">
    <cfRule type="expression" dxfId="463" priority="107" stopIfTrue="1">
      <formula>"esterreur(reference)"</formula>
    </cfRule>
  </conditionalFormatting>
  <conditionalFormatting sqref="H435:L436">
    <cfRule type="expression" dxfId="462" priority="103" stopIfTrue="1">
      <formula>"esterreur(reference)"</formula>
    </cfRule>
  </conditionalFormatting>
  <conditionalFormatting sqref="H447:L447 H450:L451">
    <cfRule type="expression" dxfId="461" priority="102" stopIfTrue="1">
      <formula>"esterreur(reference)"</formula>
    </cfRule>
  </conditionalFormatting>
  <conditionalFormatting sqref="H483:L483 H485:L485">
    <cfRule type="expression" dxfId="460" priority="147" stopIfTrue="1">
      <formula>"esterreur(reference)"</formula>
    </cfRule>
  </conditionalFormatting>
  <conditionalFormatting sqref="I16:I18 I20 I24:I30">
    <cfRule type="expression" dxfId="459" priority="163" stopIfTrue="1">
      <formula>"esterreur(reference)"</formula>
    </cfRule>
  </conditionalFormatting>
  <conditionalFormatting sqref="I109:I110">
    <cfRule type="expression" dxfId="458" priority="24" stopIfTrue="1">
      <formula>"esterreur(reference)"</formula>
    </cfRule>
  </conditionalFormatting>
  <conditionalFormatting sqref="I182:I183">
    <cfRule type="expression" dxfId="457" priority="20" stopIfTrue="1">
      <formula>"esterreur(reference)"</formula>
    </cfRule>
  </conditionalFormatting>
  <conditionalFormatting sqref="I268:I269">
    <cfRule type="expression" dxfId="456" priority="17" stopIfTrue="1">
      <formula>"esterreur(reference)"</formula>
    </cfRule>
  </conditionalFormatting>
  <conditionalFormatting sqref="I326:I327">
    <cfRule type="expression" dxfId="455" priority="13" stopIfTrue="1">
      <formula>"esterreur(reference)"</formula>
    </cfRule>
  </conditionalFormatting>
  <conditionalFormatting sqref="I390:I391">
    <cfRule type="expression" dxfId="454" priority="10" stopIfTrue="1">
      <formula>"esterreur(reference)"</formula>
    </cfRule>
  </conditionalFormatting>
  <conditionalFormatting sqref="I448:I449">
    <cfRule type="expression" dxfId="453" priority="6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452" priority="140" stopIfTrue="1">
      <formula>"esterreur(reference)"</formula>
    </cfRule>
  </conditionalFormatting>
  <conditionalFormatting sqref="J16 L16:L24">
    <cfRule type="expression" dxfId="451" priority="135" stopIfTrue="1">
      <formula>"esterreur(reference)"</formula>
    </cfRule>
  </conditionalFormatting>
  <conditionalFormatting sqref="J182 J183:L183">
    <cfRule type="expression" dxfId="450" priority="21" stopIfTrue="1">
      <formula>"esterreur(reference)"</formula>
    </cfRule>
  </conditionalFormatting>
  <conditionalFormatting sqref="J326 J327:K327">
    <cfRule type="expression" dxfId="449" priority="14" stopIfTrue="1">
      <formula>"esterreur(reference)"</formula>
    </cfRule>
  </conditionalFormatting>
  <conditionalFormatting sqref="J371:J390">
    <cfRule type="expression" dxfId="448" priority="3" stopIfTrue="1">
      <formula>"esterreur(reference)"</formula>
    </cfRule>
  </conditionalFormatting>
  <conditionalFormatting sqref="J448 J449:K449">
    <cfRule type="expression" dxfId="447" priority="7" stopIfTrue="1">
      <formula>"esterreur(reference)"</formula>
    </cfRule>
  </conditionalFormatting>
  <conditionalFormatting sqref="J54:K54">
    <cfRule type="expression" dxfId="446" priority="96" stopIfTrue="1">
      <formula>"esterreur(reference)"</formula>
    </cfRule>
  </conditionalFormatting>
  <conditionalFormatting sqref="J72:K72">
    <cfRule type="expression" dxfId="445" priority="94" stopIfTrue="1">
      <formula>"esterreur(reference)"</formula>
    </cfRule>
  </conditionalFormatting>
  <conditionalFormatting sqref="J74:K74">
    <cfRule type="expression" dxfId="444" priority="91" stopIfTrue="1">
      <formula>"esterreur(reference)"</formula>
    </cfRule>
  </conditionalFormatting>
  <conditionalFormatting sqref="J85:K85">
    <cfRule type="expression" dxfId="443" priority="27" stopIfTrue="1">
      <formula>"esterreur(reference)"</formula>
    </cfRule>
  </conditionalFormatting>
  <conditionalFormatting sqref="J156:K158">
    <cfRule type="expression" dxfId="442" priority="84" stopIfTrue="1">
      <formula>"esterreur(reference)"</formula>
    </cfRule>
  </conditionalFormatting>
  <conditionalFormatting sqref="J164:K164">
    <cfRule type="expression" dxfId="441" priority="81" stopIfTrue="1">
      <formula>"esterreur(reference)"</formula>
    </cfRule>
  </conditionalFormatting>
  <conditionalFormatting sqref="J166:K166">
    <cfRule type="expression" dxfId="440" priority="30" stopIfTrue="1">
      <formula>"esterreur(reference)"</formula>
    </cfRule>
  </conditionalFormatting>
  <conditionalFormatting sqref="J229:K231">
    <cfRule type="expression" dxfId="439" priority="75" stopIfTrue="1">
      <formula>"esterreur(reference)"</formula>
    </cfRule>
  </conditionalFormatting>
  <conditionalFormatting sqref="J237:K237">
    <cfRule type="expression" dxfId="438" priority="72" stopIfTrue="1">
      <formula>"esterreur(reference)"</formula>
    </cfRule>
  </conditionalFormatting>
  <conditionalFormatting sqref="J239:K239">
    <cfRule type="expression" dxfId="437" priority="33" stopIfTrue="1">
      <formula>"esterreur(reference)"</formula>
    </cfRule>
  </conditionalFormatting>
  <conditionalFormatting sqref="J305:K305">
    <cfRule type="expression" dxfId="436" priority="67" stopIfTrue="1">
      <formula>"esterreur(reference)"</formula>
    </cfRule>
  </conditionalFormatting>
  <conditionalFormatting sqref="J307:K307">
    <cfRule type="expression" dxfId="435" priority="36" stopIfTrue="1">
      <formula>"esterreur(reference)"</formula>
    </cfRule>
  </conditionalFormatting>
  <conditionalFormatting sqref="J363:K363">
    <cfRule type="expression" dxfId="434" priority="61" stopIfTrue="1">
      <formula>"esterreur(reference)"</formula>
    </cfRule>
  </conditionalFormatting>
  <conditionalFormatting sqref="J365:K365">
    <cfRule type="expression" dxfId="433" priority="39" stopIfTrue="1">
      <formula>"esterreur(reference)"</formula>
    </cfRule>
  </conditionalFormatting>
  <conditionalFormatting sqref="J427:K427">
    <cfRule type="expression" dxfId="432" priority="56" stopIfTrue="1">
      <formula>"esterreur(reference)"</formula>
    </cfRule>
  </conditionalFormatting>
  <conditionalFormatting sqref="J429:K431">
    <cfRule type="expression" dxfId="431" priority="42" stopIfTrue="1">
      <formula>"esterreur(reference)"</formula>
    </cfRule>
  </conditionalFormatting>
  <conditionalFormatting sqref="J464:K464">
    <cfRule type="expression" dxfId="430" priority="54" stopIfTrue="1">
      <formula>"esterreur(reference)"</formula>
    </cfRule>
  </conditionalFormatting>
  <conditionalFormatting sqref="J482:K482">
    <cfRule type="expression" dxfId="429" priority="51" stopIfTrue="1">
      <formula>"esterreur(reference)"</formula>
    </cfRule>
  </conditionalFormatting>
  <conditionalFormatting sqref="J484:K484">
    <cfRule type="expression" dxfId="428" priority="48" stopIfTrue="1">
      <formula>"esterreur(reference)"</formula>
    </cfRule>
  </conditionalFormatting>
  <conditionalFormatting sqref="J486:K487">
    <cfRule type="expression" dxfId="427" priority="45" stopIfTrue="1">
      <formula>"esterreur(reference)"</formula>
    </cfRule>
  </conditionalFormatting>
  <conditionalFormatting sqref="J53:L53 J55:L71">
    <cfRule type="expression" dxfId="426" priority="134" stopIfTrue="1">
      <formula>"esterreur(reference)"</formula>
    </cfRule>
  </conditionalFormatting>
  <conditionalFormatting sqref="J465:L481">
    <cfRule type="expression" dxfId="425" priority="148" stopIfTrue="1">
      <formula>"esterreur(reference)"</formula>
    </cfRule>
  </conditionalFormatting>
  <conditionalFormatting sqref="K5">
    <cfRule type="expression" dxfId="424" priority="155" stopIfTrue="1">
      <formula>"esterreur(reference)"</formula>
    </cfRule>
  </conditionalFormatting>
  <conditionalFormatting sqref="K321:L321">
    <cfRule type="expression" dxfId="423" priority="153" stopIfTrue="1">
      <formula>"esterreur(reference)"</formula>
    </cfRule>
  </conditionalFormatting>
  <conditionalFormatting sqref="K437:L437 L439 K440:L440">
    <cfRule type="expression" dxfId="422" priority="108" stopIfTrue="1">
      <formula>"esterreur(reference)"</formula>
    </cfRule>
  </conditionalFormatting>
  <conditionalFormatting sqref="K443:L443">
    <cfRule type="expression" dxfId="421" priority="109" stopIfTrue="1">
      <formula>"esterreur(reference)"</formula>
    </cfRule>
  </conditionalFormatting>
  <conditionalFormatting sqref="L5:L14">
    <cfRule type="expression" dxfId="420" priority="25" stopIfTrue="1">
      <formula>"esterreur(reference)"</formula>
    </cfRule>
  </conditionalFormatting>
  <conditionalFormatting sqref="L75:L82">
    <cfRule type="expression" dxfId="419" priority="142" stopIfTrue="1">
      <formula>"esterreur(reference)"</formula>
    </cfRule>
  </conditionalFormatting>
  <conditionalFormatting sqref="L157:L163">
    <cfRule type="expression" dxfId="418" priority="152" stopIfTrue="1">
      <formula>"esterreur(reference)"</formula>
    </cfRule>
  </conditionalFormatting>
  <conditionalFormatting sqref="L230:L236">
    <cfRule type="expression" dxfId="417" priority="114" stopIfTrue="1">
      <formula>"esterreur(reference)"</formula>
    </cfRule>
  </conditionalFormatting>
  <conditionalFormatting sqref="L272:L283">
    <cfRule type="expression" dxfId="416" priority="150" stopIfTrue="1">
      <formula>"esterreur(reference)"</formula>
    </cfRule>
  </conditionalFormatting>
  <conditionalFormatting sqref="L285:L302">
    <cfRule type="expression" dxfId="415" priority="151" stopIfTrue="1">
      <formula>"esterreur(reference)"</formula>
    </cfRule>
  </conditionalFormatting>
  <conditionalFormatting sqref="L324">
    <cfRule type="expression" dxfId="414" priority="99" stopIfTrue="1">
      <formula>"esterreur(reference)"</formula>
    </cfRule>
  </conditionalFormatting>
  <conditionalFormatting sqref="L330:L341">
    <cfRule type="expression" dxfId="413" priority="154" stopIfTrue="1">
      <formula>"esterreur(reference)"</formula>
    </cfRule>
  </conditionalFormatting>
  <conditionalFormatting sqref="L422:L424">
    <cfRule type="expression" dxfId="412" priority="149" stopIfTrue="1">
      <formula>"esterreur(reference)"</formula>
    </cfRule>
  </conditionalFormatting>
  <conditionalFormatting sqref="L446">
    <cfRule type="expression" dxfId="411" priority="2" stopIfTrue="1">
      <formula>"esterreur(reference)"</formula>
    </cfRule>
  </conditionalFormatting>
  <conditionalFormatting sqref="M95:M97">
    <cfRule type="expression" dxfId="410" priority="141" stopIfTrue="1">
      <formula>"esterreur(reference)"</formula>
    </cfRule>
  </conditionalFormatting>
  <conditionalFormatting sqref="M177:M179">
    <cfRule type="expression" dxfId="409" priority="113" stopIfTrue="1">
      <formula>"esterreur(reference)"</formula>
    </cfRule>
  </conditionalFormatting>
  <conditionalFormatting sqref="N283">
    <cfRule type="expression" dxfId="408" priority="136" stopIfTrue="1">
      <formula>"esterreur(reference)"</formula>
    </cfRule>
  </conditionalFormatting>
  <conditionalFormatting sqref="N394:N404">
    <cfRule type="expression" dxfId="407" priority="138" stopIfTrue="1">
      <formula>"esterreur(reference)"</formula>
    </cfRule>
  </conditionalFormatting>
  <conditionalFormatting sqref="N271:Q271">
    <cfRule type="expression" dxfId="406" priority="124" stopIfTrue="1">
      <formula>"esterreur(reference)"</formula>
    </cfRule>
  </conditionalFormatting>
  <conditionalFormatting sqref="O16 Q16:Q24">
    <cfRule type="expression" dxfId="405" priority="129" stopIfTrue="1">
      <formula>"esterreur(reference)"</formula>
    </cfRule>
  </conditionalFormatting>
  <conditionalFormatting sqref="O109 O110:Q122">
    <cfRule type="expression" dxfId="404" priority="22" stopIfTrue="1">
      <formula>"esterreur(reference)"</formula>
    </cfRule>
  </conditionalFormatting>
  <conditionalFormatting sqref="O182 O183:Q195">
    <cfRule type="expression" dxfId="403" priority="18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402" priority="123" stopIfTrue="1">
      <formula>"esterreur(reference)"</formula>
    </cfRule>
  </conditionalFormatting>
  <conditionalFormatting sqref="O266:O268 O269:P269">
    <cfRule type="expression" dxfId="401" priority="15" stopIfTrue="1">
      <formula>"esterreur(reference)"</formula>
    </cfRule>
  </conditionalFormatting>
  <conditionalFormatting sqref="O317">
    <cfRule type="expression" dxfId="400" priority="119" stopIfTrue="1">
      <formula>"esterreur(reference)"</formula>
    </cfRule>
  </conditionalFormatting>
  <conditionalFormatting sqref="O326 O327:P327">
    <cfRule type="expression" dxfId="399" priority="11" stopIfTrue="1">
      <formula>"esterreur(reference)"</formula>
    </cfRule>
  </conditionalFormatting>
  <conditionalFormatting sqref="O390 O391:P391">
    <cfRule type="expression" dxfId="398" priority="8" stopIfTrue="1">
      <formula>"esterreur(reference)"</formula>
    </cfRule>
  </conditionalFormatting>
  <conditionalFormatting sqref="O439">
    <cfRule type="expression" dxfId="397" priority="104" stopIfTrue="1">
      <formula>"esterreur(reference)"</formula>
    </cfRule>
  </conditionalFormatting>
  <conditionalFormatting sqref="O448 O449:P449">
    <cfRule type="expression" dxfId="396" priority="4" stopIfTrue="1">
      <formula>"esterreur(reference)"</formula>
    </cfRule>
  </conditionalFormatting>
  <conditionalFormatting sqref="O54:P54">
    <cfRule type="expression" dxfId="395" priority="95" stopIfTrue="1">
      <formula>"esterreur(reference)"</formula>
    </cfRule>
  </conditionalFormatting>
  <conditionalFormatting sqref="O72:P72">
    <cfRule type="expression" dxfId="394" priority="93" stopIfTrue="1">
      <formula>"esterreur(reference)"</formula>
    </cfRule>
  </conditionalFormatting>
  <conditionalFormatting sqref="O74:P74">
    <cfRule type="expression" dxfId="393" priority="90" stopIfTrue="1">
      <formula>"esterreur(reference)"</formula>
    </cfRule>
  </conditionalFormatting>
  <conditionalFormatting sqref="O85:P85">
    <cfRule type="expression" dxfId="392" priority="26" stopIfTrue="1">
      <formula>"esterreur(reference)"</formula>
    </cfRule>
  </conditionalFormatting>
  <conditionalFormatting sqref="O123:P133">
    <cfRule type="expression" dxfId="391" priority="88" stopIfTrue="1">
      <formula>"esterreur(reference)"</formula>
    </cfRule>
  </conditionalFormatting>
  <conditionalFormatting sqref="O136:P136">
    <cfRule type="expression" dxfId="390" priority="87" stopIfTrue="1">
      <formula>"esterreur(reference)"</formula>
    </cfRule>
  </conditionalFormatting>
  <conditionalFormatting sqref="O154:P154">
    <cfRule type="expression" dxfId="389" priority="86" stopIfTrue="1">
      <formula>"esterreur(reference)"</formula>
    </cfRule>
  </conditionalFormatting>
  <conditionalFormatting sqref="O156:P158">
    <cfRule type="expression" dxfId="388" priority="83" stopIfTrue="1">
      <formula>"esterreur(reference)"</formula>
    </cfRule>
  </conditionalFormatting>
  <conditionalFormatting sqref="O164:P164">
    <cfRule type="expression" dxfId="387" priority="80" stopIfTrue="1">
      <formula>"esterreur(reference)"</formula>
    </cfRule>
  </conditionalFormatting>
  <conditionalFormatting sqref="O166:P166">
    <cfRule type="expression" dxfId="386" priority="29" stopIfTrue="1">
      <formula>"esterreur(reference)"</formula>
    </cfRule>
  </conditionalFormatting>
  <conditionalFormatting sqref="O196:P206">
    <cfRule type="expression" dxfId="385" priority="79" stopIfTrue="1">
      <formula>"esterreur(reference)"</formula>
    </cfRule>
  </conditionalFormatting>
  <conditionalFormatting sqref="O209:P209">
    <cfRule type="expression" dxfId="384" priority="78" stopIfTrue="1">
      <formula>"esterreur(reference)"</formula>
    </cfRule>
  </conditionalFormatting>
  <conditionalFormatting sqref="O227:P227">
    <cfRule type="expression" dxfId="383" priority="77" stopIfTrue="1">
      <formula>"esterreur(reference)"</formula>
    </cfRule>
  </conditionalFormatting>
  <conditionalFormatting sqref="O229:P231">
    <cfRule type="expression" dxfId="382" priority="74" stopIfTrue="1">
      <formula>"esterreur(reference)"</formula>
    </cfRule>
  </conditionalFormatting>
  <conditionalFormatting sqref="O237:P237">
    <cfRule type="expression" dxfId="381" priority="71" stopIfTrue="1">
      <formula>"esterreur(reference)"</formula>
    </cfRule>
  </conditionalFormatting>
  <conditionalFormatting sqref="O239:P239">
    <cfRule type="expression" dxfId="380" priority="32" stopIfTrue="1">
      <formula>"esterreur(reference)"</formula>
    </cfRule>
  </conditionalFormatting>
  <conditionalFormatting sqref="O276:P303">
    <cfRule type="expression" dxfId="379" priority="69" stopIfTrue="1">
      <formula>"esterreur(reference)"</formula>
    </cfRule>
  </conditionalFormatting>
  <conditionalFormatting sqref="O305:P305">
    <cfRule type="expression" dxfId="378" priority="66" stopIfTrue="1">
      <formula>"esterreur(reference)"</formula>
    </cfRule>
  </conditionalFormatting>
  <conditionalFormatting sqref="O307:P307">
    <cfRule type="expression" dxfId="377" priority="35" stopIfTrue="1">
      <formula>"esterreur(reference)"</formula>
    </cfRule>
  </conditionalFormatting>
  <conditionalFormatting sqref="O330:P342">
    <cfRule type="expression" dxfId="376" priority="65" stopIfTrue="1">
      <formula>"esterreur(reference)"</formula>
    </cfRule>
  </conditionalFormatting>
  <conditionalFormatting sqref="O361:P361">
    <cfRule type="expression" dxfId="375" priority="63" stopIfTrue="1">
      <formula>"esterreur(reference)"</formula>
    </cfRule>
  </conditionalFormatting>
  <conditionalFormatting sqref="O363:P363">
    <cfRule type="expression" dxfId="374" priority="60" stopIfTrue="1">
      <formula>"esterreur(reference)"</formula>
    </cfRule>
  </conditionalFormatting>
  <conditionalFormatting sqref="O365:P365">
    <cfRule type="expression" dxfId="373" priority="38" stopIfTrue="1">
      <formula>"esterreur(reference)"</formula>
    </cfRule>
  </conditionalFormatting>
  <conditionalFormatting sqref="O371:P379 O380:Q382 O383:P384 O385:Q389 O392:Q405 O428:Q428">
    <cfRule type="expression" dxfId="372" priority="117" stopIfTrue="1">
      <formula>"esterreur(reference)"</formula>
    </cfRule>
  </conditionalFormatting>
  <conditionalFormatting sqref="O406:P425">
    <cfRule type="expression" dxfId="371" priority="58" stopIfTrue="1">
      <formula>"esterreur(reference)"</formula>
    </cfRule>
  </conditionalFormatting>
  <conditionalFormatting sqref="O427:P427">
    <cfRule type="expression" dxfId="370" priority="55" stopIfTrue="1">
      <formula>"esterreur(reference)"</formula>
    </cfRule>
  </conditionalFormatting>
  <conditionalFormatting sqref="O429:P429">
    <cfRule type="expression" dxfId="369" priority="41" stopIfTrue="1">
      <formula>"esterreur(reference)"</formula>
    </cfRule>
  </conditionalFormatting>
  <conditionalFormatting sqref="O464:P464">
    <cfRule type="expression" dxfId="368" priority="53" stopIfTrue="1">
      <formula>"esterreur(reference)"</formula>
    </cfRule>
  </conditionalFormatting>
  <conditionalFormatting sqref="O482:P482">
    <cfRule type="expression" dxfId="367" priority="50" stopIfTrue="1">
      <formula>"esterreur(reference)"</formula>
    </cfRule>
  </conditionalFormatting>
  <conditionalFormatting sqref="O484:P484">
    <cfRule type="expression" dxfId="366" priority="47" stopIfTrue="1">
      <formula>"esterreur(reference)"</formula>
    </cfRule>
  </conditionalFormatting>
  <conditionalFormatting sqref="O486:P486">
    <cfRule type="expression" dxfId="365" priority="44" stopIfTrue="1">
      <formula>"esterreur(reference)"</formula>
    </cfRule>
  </conditionalFormatting>
  <conditionalFormatting sqref="O53:Q53 O55:Q71">
    <cfRule type="expression" dxfId="364" priority="128" stopIfTrue="1">
      <formula>"esterreur(reference)"</formula>
    </cfRule>
  </conditionalFormatting>
  <conditionalFormatting sqref="O180:Q181">
    <cfRule type="expression" dxfId="363" priority="111" stopIfTrue="1">
      <formula>"esterreur(reference)"</formula>
    </cfRule>
  </conditionalFormatting>
  <conditionalFormatting sqref="O436:Q436">
    <cfRule type="expression" dxfId="362" priority="116" stopIfTrue="1">
      <formula>"esterreur(reference)"</formula>
    </cfRule>
  </conditionalFormatting>
  <conditionalFormatting sqref="O447:Q447 O450:Q463 O465:Q481">
    <cfRule type="expression" dxfId="361" priority="101" stopIfTrue="1">
      <formula>"esterreur(reference)"</formula>
    </cfRule>
  </conditionalFormatting>
  <conditionalFormatting sqref="O483:Q483 O485:Q485">
    <cfRule type="expression" dxfId="360" priority="100" stopIfTrue="1">
      <formula>"esterreur(reference)"</formula>
    </cfRule>
  </conditionalFormatting>
  <conditionalFormatting sqref="P5:Q5">
    <cfRule type="expression" dxfId="359" priority="132" stopIfTrue="1">
      <formula>"esterreur(reference)"</formula>
    </cfRule>
  </conditionalFormatting>
  <conditionalFormatting sqref="P315:Q315 P317:Q318 O328:Q329 O343:Q360 O364:Q364">
    <cfRule type="expression" dxfId="358" priority="120" stopIfTrue="1">
      <formula>"esterreur(reference)"</formula>
    </cfRule>
  </conditionalFormatting>
  <conditionalFormatting sqref="P321:Q321">
    <cfRule type="expression" dxfId="357" priority="121" stopIfTrue="1">
      <formula>"esterreur(reference)"</formula>
    </cfRule>
  </conditionalFormatting>
  <conditionalFormatting sqref="P437:Q437 Q439 P440:Q440">
    <cfRule type="expression" dxfId="356" priority="105" stopIfTrue="1">
      <formula>"esterreur(reference)"</formula>
    </cfRule>
  </conditionalFormatting>
  <conditionalFormatting sqref="P443:Q443">
    <cfRule type="expression" dxfId="355" priority="106" stopIfTrue="1">
      <formula>"esterreur(reference)"</formula>
    </cfRule>
  </conditionalFormatting>
  <conditionalFormatting sqref="Q6:Q14 O13:O14 O18:O24 O25:Q26 O27 O28:Q30 O31:P36 O37 O38:P52 O83:P83 O84:Q84">
    <cfRule type="expression" dxfId="354" priority="130" stopIfTrue="1">
      <formula>"esterreur(reference)"</formula>
    </cfRule>
  </conditionalFormatting>
  <conditionalFormatting sqref="Q75:Q82">
    <cfRule type="expression" dxfId="353" priority="131" stopIfTrue="1">
      <formula>"esterreur(reference)"</formula>
    </cfRule>
  </conditionalFormatting>
  <conditionalFormatting sqref="Q157:Q163">
    <cfRule type="expression" dxfId="352" priority="127" stopIfTrue="1">
      <formula>"esterreur(reference)"</formula>
    </cfRule>
  </conditionalFormatting>
  <conditionalFormatting sqref="Q230:Q236">
    <cfRule type="expression" dxfId="351" priority="112" stopIfTrue="1">
      <formula>"esterreur(reference)"</formula>
    </cfRule>
  </conditionalFormatting>
  <conditionalFormatting sqref="Q259">
    <cfRule type="expression" dxfId="350" priority="97" stopIfTrue="1">
      <formula>"esterreur(reference)"</formula>
    </cfRule>
  </conditionalFormatting>
  <conditionalFormatting sqref="Q272:Q283">
    <cfRule type="expression" dxfId="349" priority="125" stopIfTrue="1">
      <formula>"esterreur(reference)"</formula>
    </cfRule>
  </conditionalFormatting>
  <conditionalFormatting sqref="Q285:Q302">
    <cfRule type="expression" dxfId="348" priority="126" stopIfTrue="1">
      <formula>"esterreur(reference)"</formula>
    </cfRule>
  </conditionalFormatting>
  <conditionalFormatting sqref="Q324">
    <cfRule type="expression" dxfId="347" priority="98" stopIfTrue="1">
      <formula>"esterreur(reference)"</formula>
    </cfRule>
  </conditionalFormatting>
  <conditionalFormatting sqref="Q330:Q341">
    <cfRule type="expression" dxfId="346" priority="122" stopIfTrue="1">
      <formula>"esterreur(reference)"</formula>
    </cfRule>
  </conditionalFormatting>
  <conditionalFormatting sqref="Q422:Q424">
    <cfRule type="expression" dxfId="345" priority="118" stopIfTrue="1">
      <formula>"esterreur(reference)"</formula>
    </cfRule>
  </conditionalFormatting>
  <conditionalFormatting sqref="Q446">
    <cfRule type="expression" dxfId="344" priority="1" stopIfTrue="1">
      <formula>"esterreur(reference)"</formula>
    </cfRule>
  </conditionalFormatting>
  <conditionalFormatting sqref="R388">
    <cfRule type="expression" dxfId="343" priority="143" stopIfTrue="1">
      <formula>"esterreur(reference)"</formula>
    </cfRule>
  </conditionalFormatting>
  <conditionalFormatting sqref="S260">
    <cfRule type="expression" dxfId="342" priority="157" stopIfTrue="1">
      <formula>"esterreur(reference)"</formula>
    </cfRule>
  </conditionalFormatting>
  <conditionalFormatting sqref="AG496:AI505 AH507:AI519 AH521:AI538 AH540:AI547 AH548:AH549 AH550:AI552 AH554:AI554 AH578:AI584">
    <cfRule type="cellIs" dxfId="341" priority="144" operator="greaterThan">
      <formula>0</formula>
    </cfRule>
  </conditionalFormatting>
  <conditionalFormatting sqref="AH556:AI563 AH567:AI567">
    <cfRule type="cellIs" dxfId="340" priority="145" operator="lessThan">
      <formula>0</formula>
    </cfRule>
  </conditionalFormatting>
  <conditionalFormatting sqref="AH564:AI566">
    <cfRule type="cellIs" dxfId="339" priority="160" operator="greaterThan">
      <formula>0</formula>
    </cfRule>
  </conditionalFormatting>
  <conditionalFormatting sqref="AO496:AO505">
    <cfRule type="cellIs" dxfId="338" priority="158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pageSetUpPr fitToPage="1"/>
  </sheetPr>
  <dimension ref="A1:BJ780"/>
  <sheetViews>
    <sheetView topLeftCell="O533" zoomScale="70" zoomScaleNormal="70" workbookViewId="0">
      <selection activeCell="O533" sqref="A1:XFD1048576"/>
    </sheetView>
  </sheetViews>
  <sheetFormatPr baseColWidth="10" defaultColWidth="12.625" defaultRowHeight="15" customHeight="1"/>
  <cols>
    <col min="1" max="1" width="5.375" customWidth="1"/>
    <col min="2" max="2" width="22.625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0" max="21" width="11.625" customWidth="1"/>
    <col min="22" max="22" width="42.375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11.625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  <col min="42" max="62" width="11.625" customWidth="1"/>
  </cols>
  <sheetData>
    <row r="1" spans="1:40" ht="36" thickBot="1">
      <c r="B1" s="2"/>
      <c r="C1" s="429" t="s">
        <v>218</v>
      </c>
      <c r="D1" s="430"/>
      <c r="E1" s="431"/>
      <c r="F1" s="430"/>
      <c r="G1" s="430"/>
      <c r="H1" s="429"/>
      <c r="I1" s="430"/>
      <c r="J1" s="429"/>
      <c r="K1" s="432" t="s">
        <v>0</v>
      </c>
      <c r="L1" s="430"/>
      <c r="M1" s="430"/>
      <c r="N1" s="433"/>
      <c r="O1" s="429"/>
      <c r="P1" s="430"/>
      <c r="Q1" s="429"/>
      <c r="R1" s="430"/>
      <c r="S1" s="434" t="s">
        <v>519</v>
      </c>
      <c r="T1" s="405" t="s">
        <v>1</v>
      </c>
      <c r="U1" s="38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208</v>
      </c>
      <c r="K2" s="5"/>
      <c r="L2" s="5" t="s">
        <v>209</v>
      </c>
      <c r="M2" s="6"/>
      <c r="N2" s="6"/>
      <c r="O2" s="5" t="s">
        <v>208</v>
      </c>
      <c r="P2" s="5"/>
      <c r="Q2" s="5" t="s">
        <v>209</v>
      </c>
      <c r="R2" s="6"/>
      <c r="S2" s="6"/>
      <c r="T2" s="6"/>
      <c r="U2" s="6"/>
      <c r="V2" s="282" t="s">
        <v>271</v>
      </c>
      <c r="W2" s="283"/>
    </row>
    <row r="3" spans="1:40" ht="21" thickTop="1">
      <c r="B3" s="7"/>
      <c r="C3" s="259"/>
      <c r="D3" s="426" t="s">
        <v>5</v>
      </c>
      <c r="E3" s="427"/>
      <c r="F3" s="425"/>
      <c r="G3" s="424"/>
      <c r="H3" s="427"/>
      <c r="I3" s="425"/>
      <c r="J3" s="424" t="s">
        <v>7</v>
      </c>
      <c r="K3" s="427"/>
      <c r="L3" s="425"/>
      <c r="M3" s="424" t="s">
        <v>210</v>
      </c>
      <c r="N3" s="425"/>
      <c r="O3" s="426" t="s">
        <v>8</v>
      </c>
      <c r="P3" s="427"/>
      <c r="Q3" s="425"/>
      <c r="R3" s="424" t="s">
        <v>211</v>
      </c>
      <c r="S3" s="425"/>
      <c r="T3" s="6"/>
      <c r="U3" s="6"/>
      <c r="V3" s="284" t="s">
        <v>272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220</v>
      </c>
      <c r="K4" s="9" t="s">
        <v>13</v>
      </c>
      <c r="L4" s="10" t="s">
        <v>12</v>
      </c>
      <c r="M4" s="11" t="s">
        <v>220</v>
      </c>
      <c r="N4" s="10" t="s">
        <v>12</v>
      </c>
      <c r="O4" s="11" t="s">
        <v>220</v>
      </c>
      <c r="P4" s="9" t="s">
        <v>13</v>
      </c>
      <c r="Q4" s="10" t="s">
        <v>12</v>
      </c>
      <c r="R4" s="11" t="s">
        <v>220</v>
      </c>
      <c r="S4" s="10" t="s">
        <v>12</v>
      </c>
      <c r="T4" s="6"/>
      <c r="U4" s="6"/>
      <c r="V4" s="284" t="s">
        <v>273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34" t="s">
        <v>274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/>
      <c r="J5" s="14"/>
      <c r="K5" s="30"/>
      <c r="L5" s="61">
        <v>7465717.8300000057</v>
      </c>
      <c r="M5" s="17"/>
      <c r="N5" s="18"/>
      <c r="O5" s="14"/>
      <c r="P5" s="30"/>
      <c r="Q5" s="61">
        <v>8922542.4800000098</v>
      </c>
      <c r="R5" s="17"/>
      <c r="S5" s="286"/>
      <c r="T5" s="6"/>
      <c r="U5" s="6">
        <f>L5/AF493</f>
        <v>0.66682387161700873</v>
      </c>
      <c r="V5" s="284" t="s">
        <v>275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34" t="s">
        <v>276</v>
      </c>
      <c r="B6" s="7" t="s">
        <v>0</v>
      </c>
      <c r="C6" s="26" t="s">
        <v>15</v>
      </c>
      <c r="D6" s="19">
        <v>0</v>
      </c>
      <c r="E6" s="19">
        <f t="shared" ref="E6:E12" si="0">IF(D6=0,0,F6/D6)</f>
        <v>0</v>
      </c>
      <c r="F6" s="19">
        <v>0</v>
      </c>
      <c r="G6" s="20"/>
      <c r="H6" s="19"/>
      <c r="I6" s="19"/>
      <c r="J6" s="20">
        <v>1</v>
      </c>
      <c r="K6" s="55">
        <f t="shared" ref="K6:K12" si="1">IF(J6=0,0,L6/J6)</f>
        <v>11544.359999999986</v>
      </c>
      <c r="L6" s="39">
        <v>11544.359999999986</v>
      </c>
      <c r="M6" s="20">
        <f t="shared" ref="M6:M12" si="2">J6-D6</f>
        <v>1</v>
      </c>
      <c r="N6" s="21">
        <f t="shared" ref="N6:N12" si="3">L6-F6</f>
        <v>11544.359999999986</v>
      </c>
      <c r="O6" s="20">
        <v>0</v>
      </c>
      <c r="P6" s="55">
        <f t="shared" ref="P6:P12" si="4">IF(O6=0,0,Q6/O6)</f>
        <v>0</v>
      </c>
      <c r="Q6" s="39">
        <v>0</v>
      </c>
      <c r="R6" s="40">
        <f t="shared" ref="R6:R12" si="5">J6-O6</f>
        <v>1</v>
      </c>
      <c r="S6" s="39">
        <f t="shared" ref="S6:S12" si="6">L6-Q6</f>
        <v>11544.359999999986</v>
      </c>
      <c r="T6" s="6"/>
      <c r="U6" s="6"/>
      <c r="V6" s="284" t="s">
        <v>277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34" t="s">
        <v>278</v>
      </c>
      <c r="B7" s="7" t="s">
        <v>0</v>
      </c>
      <c r="C7" s="26" t="s">
        <v>16</v>
      </c>
      <c r="D7" s="19">
        <v>0</v>
      </c>
      <c r="E7" s="19">
        <f t="shared" si="0"/>
        <v>0</v>
      </c>
      <c r="F7" s="19">
        <v>0</v>
      </c>
      <c r="G7" s="20"/>
      <c r="H7" s="19"/>
      <c r="I7" s="19"/>
      <c r="J7" s="20">
        <v>30</v>
      </c>
      <c r="K7" s="55">
        <f t="shared" si="1"/>
        <v>1763.6139999999928</v>
      </c>
      <c r="L7" s="39">
        <v>52908.41999999978</v>
      </c>
      <c r="M7" s="20">
        <f t="shared" si="2"/>
        <v>30</v>
      </c>
      <c r="N7" s="21">
        <f t="shared" si="3"/>
        <v>52908.41999999978</v>
      </c>
      <c r="O7" s="20">
        <v>38</v>
      </c>
      <c r="P7" s="55">
        <f t="shared" si="4"/>
        <v>2884.9065789473702</v>
      </c>
      <c r="Q7" s="39">
        <v>109626.45000000007</v>
      </c>
      <c r="R7" s="40">
        <f t="shared" si="5"/>
        <v>-8</v>
      </c>
      <c r="S7" s="39">
        <f t="shared" si="6"/>
        <v>-56718.03000000029</v>
      </c>
      <c r="T7" s="6"/>
      <c r="U7" s="6"/>
      <c r="V7" s="284" t="s">
        <v>279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34" t="s">
        <v>280</v>
      </c>
      <c r="B8" s="7" t="s">
        <v>0</v>
      </c>
      <c r="C8" s="26" t="s">
        <v>281</v>
      </c>
      <c r="D8" s="19">
        <v>0</v>
      </c>
      <c r="E8" s="19">
        <f t="shared" si="0"/>
        <v>0</v>
      </c>
      <c r="F8" s="19">
        <v>0</v>
      </c>
      <c r="G8" s="20"/>
      <c r="H8" s="19"/>
      <c r="I8" s="19"/>
      <c r="J8" s="20">
        <v>0</v>
      </c>
      <c r="K8" s="55">
        <f t="shared" si="1"/>
        <v>0</v>
      </c>
      <c r="L8" s="39">
        <v>0</v>
      </c>
      <c r="M8" s="20">
        <f t="shared" si="2"/>
        <v>0</v>
      </c>
      <c r="N8" s="21">
        <f t="shared" si="3"/>
        <v>0</v>
      </c>
      <c r="O8" s="20">
        <v>0</v>
      </c>
      <c r="P8" s="55">
        <f t="shared" si="4"/>
        <v>0</v>
      </c>
      <c r="Q8" s="39">
        <v>0</v>
      </c>
      <c r="R8" s="40">
        <f t="shared" si="5"/>
        <v>0</v>
      </c>
      <c r="S8" s="39">
        <f t="shared" si="6"/>
        <v>0</v>
      </c>
      <c r="T8" s="6"/>
      <c r="U8" s="6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34" t="s">
        <v>282</v>
      </c>
      <c r="B9" s="7" t="s">
        <v>0</v>
      </c>
      <c r="C9" s="26" t="s">
        <v>283</v>
      </c>
      <c r="D9" s="19">
        <v>0</v>
      </c>
      <c r="E9" s="19">
        <f t="shared" si="0"/>
        <v>0</v>
      </c>
      <c r="F9" s="19">
        <v>0</v>
      </c>
      <c r="G9" s="20"/>
      <c r="H9" s="19"/>
      <c r="I9" s="19"/>
      <c r="J9" s="20">
        <v>48</v>
      </c>
      <c r="K9" s="55">
        <f t="shared" si="1"/>
        <v>1378.6770833333405</v>
      </c>
      <c r="L9" s="39">
        <v>66176.500000000349</v>
      </c>
      <c r="M9" s="20">
        <f t="shared" si="2"/>
        <v>48</v>
      </c>
      <c r="N9" s="21">
        <f t="shared" si="3"/>
        <v>66176.500000000349</v>
      </c>
      <c r="O9" s="20">
        <v>24</v>
      </c>
      <c r="P9" s="55">
        <f t="shared" si="4"/>
        <v>1502.0999999999767</v>
      </c>
      <c r="Q9" s="39">
        <v>36050.399999999441</v>
      </c>
      <c r="R9" s="40">
        <f t="shared" si="5"/>
        <v>24</v>
      </c>
      <c r="S9" s="39">
        <f t="shared" si="6"/>
        <v>30126.100000000908</v>
      </c>
      <c r="T9" s="6"/>
      <c r="U9" s="6" t="s">
        <v>504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25" hidden="1" customHeight="1">
      <c r="A10" s="234" t="s">
        <v>284</v>
      </c>
      <c r="B10" s="7" t="s">
        <v>0</v>
      </c>
      <c r="C10" s="26" t="s">
        <v>19</v>
      </c>
      <c r="D10" s="19">
        <v>0</v>
      </c>
      <c r="E10" s="19">
        <f t="shared" si="0"/>
        <v>0</v>
      </c>
      <c r="F10" s="19">
        <v>0</v>
      </c>
      <c r="G10" s="20"/>
      <c r="H10" s="19"/>
      <c r="I10" s="19"/>
      <c r="J10" s="20">
        <v>0</v>
      </c>
      <c r="K10" s="55">
        <f t="shared" si="1"/>
        <v>0</v>
      </c>
      <c r="L10" s="39">
        <v>0</v>
      </c>
      <c r="M10" s="20">
        <f t="shared" si="2"/>
        <v>0</v>
      </c>
      <c r="N10" s="21">
        <f t="shared" si="3"/>
        <v>0</v>
      </c>
      <c r="O10" s="20">
        <v>0</v>
      </c>
      <c r="P10" s="55">
        <f t="shared" si="4"/>
        <v>0</v>
      </c>
      <c r="Q10" s="39">
        <v>0</v>
      </c>
      <c r="R10" s="124">
        <f t="shared" si="5"/>
        <v>0</v>
      </c>
      <c r="S10" s="39">
        <f t="shared" si="6"/>
        <v>0</v>
      </c>
      <c r="T10" s="6"/>
      <c r="U10" s="6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25" hidden="1" customHeight="1">
      <c r="A11" s="234" t="s">
        <v>284</v>
      </c>
      <c r="B11" s="7" t="s">
        <v>0</v>
      </c>
      <c r="C11" s="26" t="s">
        <v>19</v>
      </c>
      <c r="D11" s="19">
        <v>0</v>
      </c>
      <c r="E11" s="19">
        <f t="shared" si="0"/>
        <v>0</v>
      </c>
      <c r="F11" s="19">
        <v>0</v>
      </c>
      <c r="G11" s="20"/>
      <c r="H11" s="19"/>
      <c r="I11" s="19"/>
      <c r="J11" s="20">
        <v>0</v>
      </c>
      <c r="K11" s="55">
        <f t="shared" si="1"/>
        <v>0</v>
      </c>
      <c r="L11" s="39">
        <v>0</v>
      </c>
      <c r="M11" s="20">
        <f t="shared" si="2"/>
        <v>0</v>
      </c>
      <c r="N11" s="21">
        <f t="shared" si="3"/>
        <v>0</v>
      </c>
      <c r="O11" s="20">
        <v>0</v>
      </c>
      <c r="P11" s="55">
        <f t="shared" si="4"/>
        <v>0</v>
      </c>
      <c r="Q11" s="39">
        <v>0</v>
      </c>
      <c r="R11" s="20">
        <f t="shared" si="5"/>
        <v>0</v>
      </c>
      <c r="S11" s="39">
        <f t="shared" si="6"/>
        <v>0</v>
      </c>
      <c r="T11" s="6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25" hidden="1" customHeight="1">
      <c r="A12" s="234" t="s">
        <v>284</v>
      </c>
      <c r="B12" s="7" t="s">
        <v>0</v>
      </c>
      <c r="C12" s="26" t="s">
        <v>19</v>
      </c>
      <c r="D12" s="19">
        <v>0</v>
      </c>
      <c r="E12" s="19">
        <f t="shared" si="0"/>
        <v>0</v>
      </c>
      <c r="F12" s="19">
        <v>0</v>
      </c>
      <c r="G12" s="20"/>
      <c r="H12" s="19"/>
      <c r="I12" s="19"/>
      <c r="J12" s="20">
        <v>0</v>
      </c>
      <c r="K12" s="55">
        <f t="shared" si="1"/>
        <v>0</v>
      </c>
      <c r="L12" s="39">
        <v>0</v>
      </c>
      <c r="M12" s="20">
        <f t="shared" si="2"/>
        <v>0</v>
      </c>
      <c r="N12" s="21">
        <f t="shared" si="3"/>
        <v>0</v>
      </c>
      <c r="O12" s="20">
        <v>0</v>
      </c>
      <c r="P12" s="55">
        <f t="shared" si="4"/>
        <v>0</v>
      </c>
      <c r="Q12" s="39">
        <v>0</v>
      </c>
      <c r="R12" s="20">
        <f t="shared" si="5"/>
        <v>0</v>
      </c>
      <c r="S12" s="39">
        <f t="shared" si="6"/>
        <v>0</v>
      </c>
      <c r="T12" s="6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34" t="s">
        <v>285</v>
      </c>
      <c r="B13" s="7" t="s">
        <v>0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/>
      <c r="H13" s="22"/>
      <c r="I13" s="23"/>
      <c r="J13" s="24">
        <f>+SUM(J6:J12)</f>
        <v>79</v>
      </c>
      <c r="K13" s="122">
        <f>IF(J13&lt;=0,0,L13/J13)</f>
        <v>1653.5351898734191</v>
      </c>
      <c r="L13" s="123">
        <f t="shared" ref="L13:O13" si="7">+SUM(L6:L12)</f>
        <v>130629.28000000012</v>
      </c>
      <c r="M13" s="24">
        <f t="shared" si="7"/>
        <v>79</v>
      </c>
      <c r="N13" s="23">
        <f t="shared" si="7"/>
        <v>130629.28000000012</v>
      </c>
      <c r="O13" s="24">
        <f t="shared" si="7"/>
        <v>62</v>
      </c>
      <c r="P13" s="122">
        <f>IF(O13&lt;=0,0,Q13/O13)</f>
        <v>2349.6266129032178</v>
      </c>
      <c r="Q13" s="123">
        <f t="shared" ref="Q13:S13" si="8">+SUM(Q6:Q12)</f>
        <v>145676.84999999951</v>
      </c>
      <c r="R13" s="124">
        <f t="shared" si="8"/>
        <v>17</v>
      </c>
      <c r="S13" s="123">
        <f t="shared" si="8"/>
        <v>-15047.569999999396</v>
      </c>
      <c r="T13" s="6">
        <v>79</v>
      </c>
      <c r="U13" s="397">
        <v>130630</v>
      </c>
      <c r="V13" s="398">
        <f>L13-U13</f>
        <v>-0.71999999988474883</v>
      </c>
      <c r="W13" s="7"/>
      <c r="X13" s="7"/>
      <c r="Y13" s="7"/>
      <c r="Z13" s="7"/>
      <c r="AA13" s="7"/>
      <c r="AB13" s="7"/>
      <c r="AC13" s="7"/>
      <c r="AD13" s="55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34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>
        <f>R13/O13</f>
        <v>0.27419354838709675</v>
      </c>
      <c r="S14" s="28">
        <f>IF(Q13=0,0,(S13/Q13))</f>
        <v>-0.10329417474361538</v>
      </c>
      <c r="T14" s="6"/>
      <c r="U14" s="397"/>
      <c r="V14" s="398"/>
      <c r="W14" s="19"/>
      <c r="X14" s="1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34" t="s">
        <v>286</v>
      </c>
      <c r="B15" s="7" t="s">
        <v>0</v>
      </c>
      <c r="C15" s="113" t="s">
        <v>21</v>
      </c>
      <c r="D15" s="33">
        <v>0</v>
      </c>
      <c r="E15" s="33">
        <f>IF(D15=0,0,F15/D15)</f>
        <v>0</v>
      </c>
      <c r="F15" s="90">
        <v>0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>
        <f>J15-D15</f>
        <v>0</v>
      </c>
      <c r="N15" s="31">
        <f>L15-F15</f>
        <v>0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6"/>
      <c r="U15" s="397"/>
      <c r="V15" s="398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34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6"/>
      <c r="U16" s="397"/>
      <c r="V16" s="398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34" t="s">
        <v>287</v>
      </c>
      <c r="B17" s="7" t="s">
        <v>0</v>
      </c>
      <c r="C17" s="52" t="s">
        <v>22</v>
      </c>
      <c r="D17" s="290">
        <v>0</v>
      </c>
      <c r="E17" s="290">
        <f>IF(D17=0,0,F17/D17)</f>
        <v>0</v>
      </c>
      <c r="F17" s="290">
        <v>0</v>
      </c>
      <c r="G17" s="38"/>
      <c r="H17" s="290"/>
      <c r="I17" s="290"/>
      <c r="J17" s="34">
        <v>51</v>
      </c>
      <c r="K17" s="55">
        <f>IF(J17=0,0,L17/J17)</f>
        <v>740.45647058840473</v>
      </c>
      <c r="L17" s="39">
        <v>37763.280000008643</v>
      </c>
      <c r="M17" s="34">
        <f>J17-D17</f>
        <v>51</v>
      </c>
      <c r="N17" s="21">
        <f>L17-F17</f>
        <v>37763.280000008643</v>
      </c>
      <c r="O17" s="34">
        <v>82</v>
      </c>
      <c r="P17" s="55">
        <f>IF(O17=0,0,Q17/O17)</f>
        <v>669.57853658551846</v>
      </c>
      <c r="Q17" s="39">
        <v>54905.440000012517</v>
      </c>
      <c r="R17" s="40">
        <f>J17-O17</f>
        <v>-31</v>
      </c>
      <c r="S17" s="39">
        <f>L17-Q17</f>
        <v>-17142.160000003874</v>
      </c>
      <c r="T17" s="6">
        <v>51</v>
      </c>
      <c r="U17" s="397">
        <v>38372</v>
      </c>
      <c r="V17" s="398">
        <f>L17-U17</f>
        <v>-608.71999999135733</v>
      </c>
      <c r="W17" s="7"/>
      <c r="X17" s="7"/>
      <c r="Y17" s="7"/>
      <c r="Z17" s="7"/>
      <c r="AA17" s="19"/>
      <c r="AB17" s="7"/>
      <c r="AC17" s="7"/>
      <c r="AD17" s="55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34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6"/>
      <c r="U18" s="397"/>
      <c r="V18" s="398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34" t="s">
        <v>288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6"/>
      <c r="U19" s="397"/>
      <c r="V19" s="398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34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6"/>
      <c r="U20" s="397"/>
      <c r="V20" s="398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34" t="s">
        <v>289</v>
      </c>
      <c r="B21" s="7" t="s">
        <v>0</v>
      </c>
      <c r="C21" s="26" t="s">
        <v>24</v>
      </c>
      <c r="D21" s="19">
        <v>0</v>
      </c>
      <c r="E21" s="19">
        <f t="shared" ref="E21:E23" si="9">IF(D21=0,0,F21/D21)</f>
        <v>0</v>
      </c>
      <c r="F21" s="19">
        <v>0</v>
      </c>
      <c r="G21" s="20"/>
      <c r="H21" s="19"/>
      <c r="I21" s="19"/>
      <c r="J21" s="20"/>
      <c r="K21" s="55">
        <f>IF(J13=0,0,L21/(J13+J15))</f>
        <v>-16.825063291139244</v>
      </c>
      <c r="L21" s="39">
        <v>-1329.1800000000003</v>
      </c>
      <c r="M21" s="20"/>
      <c r="N21" s="21">
        <f t="shared" ref="N21:N24" si="10">L21-F21</f>
        <v>-1329.1800000000003</v>
      </c>
      <c r="O21" s="20"/>
      <c r="P21" s="55">
        <f>IF(O13=0,0,Q21/(O13+O15))</f>
        <v>0</v>
      </c>
      <c r="Q21" s="39">
        <v>0</v>
      </c>
      <c r="R21" s="40">
        <f t="shared" ref="R21:R24" si="11">P21-K21</f>
        <v>16.825063291139244</v>
      </c>
      <c r="S21" s="39">
        <f t="shared" ref="S21:S24" si="12">L21-Q21</f>
        <v>-1329.1800000000003</v>
      </c>
      <c r="T21" s="6"/>
      <c r="U21" s="397"/>
      <c r="V21" s="398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34" t="s">
        <v>290</v>
      </c>
      <c r="B22" s="7" t="s">
        <v>0</v>
      </c>
      <c r="C22" s="26" t="s">
        <v>25</v>
      </c>
      <c r="D22" s="19">
        <v>0</v>
      </c>
      <c r="E22" s="19">
        <f t="shared" si="9"/>
        <v>0</v>
      </c>
      <c r="F22" s="19">
        <v>0</v>
      </c>
      <c r="G22" s="20"/>
      <c r="H22" s="19"/>
      <c r="I22" s="19"/>
      <c r="J22" s="20"/>
      <c r="K22" s="55">
        <f>IF(J13=0,0,L22/(J13+J15))</f>
        <v>563.21367088607542</v>
      </c>
      <c r="L22" s="39">
        <v>44493.879999999961</v>
      </c>
      <c r="M22" s="20"/>
      <c r="N22" s="21">
        <f t="shared" si="10"/>
        <v>44493.879999999961</v>
      </c>
      <c r="O22" s="20"/>
      <c r="P22" s="55">
        <f>IF(O13=0,0,Q22/(O13+O15))</f>
        <v>752.96161290322573</v>
      </c>
      <c r="Q22" s="39">
        <v>46683.619999999995</v>
      </c>
      <c r="R22" s="40">
        <f t="shared" si="11"/>
        <v>189.74794201715031</v>
      </c>
      <c r="S22" s="39">
        <f t="shared" si="12"/>
        <v>-2189.7400000000343</v>
      </c>
      <c r="T22" s="6"/>
      <c r="U22" s="397"/>
      <c r="V22" s="398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34" t="s">
        <v>291</v>
      </c>
      <c r="B23" s="7" t="s">
        <v>0</v>
      </c>
      <c r="C23" s="26" t="s">
        <v>26</v>
      </c>
      <c r="D23" s="19">
        <v>0</v>
      </c>
      <c r="E23" s="19">
        <f t="shared" si="9"/>
        <v>0</v>
      </c>
      <c r="F23" s="19">
        <v>0</v>
      </c>
      <c r="G23" s="20"/>
      <c r="H23" s="19"/>
      <c r="I23" s="19"/>
      <c r="J23" s="20"/>
      <c r="K23" s="55">
        <f>IF(J13=0,0,L23/(J13+J15))</f>
        <v>68.392405063291136</v>
      </c>
      <c r="L23" s="39">
        <v>5403</v>
      </c>
      <c r="M23" s="34"/>
      <c r="N23" s="21">
        <f t="shared" si="10"/>
        <v>5403</v>
      </c>
      <c r="O23" s="20"/>
      <c r="P23" s="55">
        <f>IF(O13=0,0,Q23/(O13+O15))</f>
        <v>71.569354838709671</v>
      </c>
      <c r="Q23" s="39">
        <v>4437.2999999999993</v>
      </c>
      <c r="R23" s="40">
        <f t="shared" si="11"/>
        <v>3.1769497754185352</v>
      </c>
      <c r="S23" s="39">
        <f t="shared" si="12"/>
        <v>965.70000000000073</v>
      </c>
      <c r="T23" s="6"/>
      <c r="U23" s="397"/>
      <c r="V23" s="398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34" t="s">
        <v>292</v>
      </c>
      <c r="B24" s="7" t="s">
        <v>0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/>
      <c r="H24" s="22"/>
      <c r="I24" s="23"/>
      <c r="J24" s="24">
        <f>+J15+J13</f>
        <v>79</v>
      </c>
      <c r="K24" s="122">
        <f>IF(J24&lt;=0,0,L24/J24)</f>
        <v>614.78101265822738</v>
      </c>
      <c r="L24" s="123">
        <f>L21+L22+L23</f>
        <v>48567.699999999961</v>
      </c>
      <c r="M24" s="38">
        <f>J24-D24</f>
        <v>79</v>
      </c>
      <c r="N24" s="23">
        <f t="shared" si="10"/>
        <v>48567.699999999961</v>
      </c>
      <c r="O24" s="24">
        <f>+O15+O13</f>
        <v>62</v>
      </c>
      <c r="P24" s="122">
        <f>IF(O24&lt;=0,0,Q24/O24)</f>
        <v>824.53096774193546</v>
      </c>
      <c r="Q24" s="123">
        <f>Q21+Q22+Q23</f>
        <v>51120.92</v>
      </c>
      <c r="R24" s="106">
        <f t="shared" si="11"/>
        <v>209.74995508370807</v>
      </c>
      <c r="S24" s="123">
        <f t="shared" si="12"/>
        <v>-2553.2200000000375</v>
      </c>
      <c r="T24" s="6"/>
      <c r="U24" s="397">
        <v>48568</v>
      </c>
      <c r="V24" s="398">
        <f>L24-U24</f>
        <v>-0.30000000003929017</v>
      </c>
      <c r="W24" s="7"/>
      <c r="X24" s="7"/>
      <c r="Y24" s="7"/>
      <c r="Z24" s="7"/>
      <c r="AA24" s="7"/>
      <c r="AB24" s="7"/>
      <c r="AC24" s="7"/>
      <c r="AD24" s="55"/>
      <c r="AE24" s="55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34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-4.9944719304739385E-2</v>
      </c>
      <c r="T25" s="6"/>
      <c r="U25" s="397"/>
      <c r="V25" s="398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34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6"/>
      <c r="U26" s="397"/>
      <c r="V26" s="398"/>
      <c r="W26" s="7"/>
      <c r="X26" s="7"/>
      <c r="Y26" s="7"/>
      <c r="Z26" s="7"/>
      <c r="AA26" s="7"/>
      <c r="AB26" s="7"/>
      <c r="AC26" s="7"/>
      <c r="AD26" s="55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34" t="s">
        <v>293</v>
      </c>
      <c r="B27" s="7" t="s">
        <v>0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/>
      <c r="H27" s="42"/>
      <c r="I27" s="43"/>
      <c r="J27" s="44">
        <f>+J13+J15+J17</f>
        <v>130</v>
      </c>
      <c r="K27" s="41">
        <f>IF(J27&lt;=0,0,L27/J27)</f>
        <v>1668.9250769231439</v>
      </c>
      <c r="L27" s="43">
        <f>L13+L17+L24+L19+L15</f>
        <v>216960.26000000871</v>
      </c>
      <c r="M27" s="44">
        <f>J27-D27</f>
        <v>130</v>
      </c>
      <c r="N27" s="43">
        <f>L27-F27</f>
        <v>216960.26000000871</v>
      </c>
      <c r="O27" s="44">
        <f>+O13+O15+O17</f>
        <v>144</v>
      </c>
      <c r="P27" s="41">
        <f>IF(O27&lt;=0,0,Q27/O27)</f>
        <v>1747.9389583334168</v>
      </c>
      <c r="Q27" s="43">
        <f>Q13+Q17+Q24+Q19+Q15</f>
        <v>251703.21000001201</v>
      </c>
      <c r="R27" s="44">
        <f>J27-O27</f>
        <v>-14</v>
      </c>
      <c r="S27" s="43">
        <f>L27-Q27</f>
        <v>-34742.9500000033</v>
      </c>
      <c r="T27" s="6"/>
      <c r="U27" s="397">
        <f>SUM(U13:U26)</f>
        <v>217570</v>
      </c>
      <c r="V27" s="398">
        <f>L27-U27</f>
        <v>-609.73999999128864</v>
      </c>
      <c r="W27" s="7"/>
      <c r="X27" s="7"/>
      <c r="Y27" s="7"/>
      <c r="Z27" s="7"/>
      <c r="AA27" s="7"/>
      <c r="AB27" s="7"/>
      <c r="AC27" s="7"/>
      <c r="AD27" s="55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34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435"/>
      <c r="M28" s="48"/>
      <c r="N28" s="49"/>
      <c r="O28" s="47"/>
      <c r="P28" s="265"/>
      <c r="Q28" s="435"/>
      <c r="R28" s="48">
        <f>R27/O27</f>
        <v>-9.7222222222222224E-2</v>
      </c>
      <c r="S28" s="267">
        <f>IF(Q27=0,0,S27/Q27)</f>
        <v>-0.138031414061035</v>
      </c>
      <c r="T28" s="6"/>
      <c r="U28" s="6"/>
      <c r="V28" s="401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34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6"/>
      <c r="U29" s="9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34" t="s">
        <v>294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6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75" customHeight="1">
      <c r="A31" s="234" t="s">
        <v>295</v>
      </c>
      <c r="B31" s="7" t="s">
        <v>0</v>
      </c>
      <c r="C31" s="26" t="s">
        <v>30</v>
      </c>
      <c r="D31" s="295" t="e">
        <f>F31/(F13+F15)</f>
        <v>#DIV/0!</v>
      </c>
      <c r="E31" s="55" t="e">
        <f t="shared" ref="E31:E40" si="13">F31/D$24</f>
        <v>#DIV/0!</v>
      </c>
      <c r="F31" s="19">
        <v>0</v>
      </c>
      <c r="G31" s="99"/>
      <c r="H31" s="55"/>
      <c r="I31" s="19"/>
      <c r="J31" s="99">
        <f>L31/(L15+L13+L17)</f>
        <v>0.24857315548856682</v>
      </c>
      <c r="K31" s="55">
        <f t="shared" ref="K31:K40" si="14">IF(L31=0,0,L31/J$24)</f>
        <v>529.8464556962025</v>
      </c>
      <c r="L31" s="39">
        <v>41857.869999999995</v>
      </c>
      <c r="M31" s="26"/>
      <c r="N31" s="39">
        <f t="shared" ref="N31:N53" si="15">L31-F31</f>
        <v>41857.869999999995</v>
      </c>
      <c r="O31" s="99">
        <f>Q31/(Q15+Q13+Q17)</f>
        <v>0.30837921932188661</v>
      </c>
      <c r="P31" s="55">
        <f t="shared" ref="P31:P40" si="16">IF(Q31=0,0,Q31/O$24)</f>
        <v>997.66790322580607</v>
      </c>
      <c r="Q31" s="39">
        <v>61855.409999999974</v>
      </c>
      <c r="R31" s="26"/>
      <c r="S31" s="39">
        <f t="shared" ref="S31:S53" si="17">L31-Q31</f>
        <v>-19997.539999999979</v>
      </c>
      <c r="T31" s="6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34" t="s">
        <v>296</v>
      </c>
      <c r="B32" s="7" t="s">
        <v>0</v>
      </c>
      <c r="C32" s="14" t="s">
        <v>31</v>
      </c>
      <c r="D32" s="296" t="e">
        <f>F32/F24</f>
        <v>#DIV/0!</v>
      </c>
      <c r="E32" s="58" t="e">
        <f t="shared" si="13"/>
        <v>#DIV/0!</v>
      </c>
      <c r="F32" s="31">
        <v>0</v>
      </c>
      <c r="G32" s="104"/>
      <c r="H32" s="58"/>
      <c r="I32" s="31"/>
      <c r="J32" s="104">
        <f>L32/L24</f>
        <v>0.29101728103245583</v>
      </c>
      <c r="K32" s="58">
        <f t="shared" si="14"/>
        <v>178.91189873417713</v>
      </c>
      <c r="L32" s="39">
        <v>14134.039999999994</v>
      </c>
      <c r="M32" s="14"/>
      <c r="N32" s="61">
        <f t="shared" si="15"/>
        <v>14134.039999999994</v>
      </c>
      <c r="O32" s="104">
        <f>Q32/Q24</f>
        <v>0.33260532087450717</v>
      </c>
      <c r="P32" s="58">
        <f t="shared" si="16"/>
        <v>274.24338709677437</v>
      </c>
      <c r="Q32" s="61">
        <v>17003.090000000011</v>
      </c>
      <c r="R32" s="14"/>
      <c r="S32" s="61">
        <f t="shared" si="17"/>
        <v>-2869.0500000000175</v>
      </c>
      <c r="T32" s="6"/>
      <c r="U32" s="6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34" t="s">
        <v>297</v>
      </c>
      <c r="B33" s="7" t="s">
        <v>0</v>
      </c>
      <c r="C33" s="26" t="s">
        <v>32</v>
      </c>
      <c r="D33" s="54"/>
      <c r="E33" s="55" t="e">
        <f t="shared" si="13"/>
        <v>#DIV/0!</v>
      </c>
      <c r="F33" s="19">
        <v>0</v>
      </c>
      <c r="G33" s="56"/>
      <c r="H33" s="55"/>
      <c r="I33" s="19"/>
      <c r="J33" s="26"/>
      <c r="K33" s="55">
        <f t="shared" si="14"/>
        <v>357.47632911392373</v>
      </c>
      <c r="L33" s="72">
        <v>28240.629999999976</v>
      </c>
      <c r="M33" s="26"/>
      <c r="N33" s="39">
        <f t="shared" si="15"/>
        <v>28240.629999999976</v>
      </c>
      <c r="O33" s="26"/>
      <c r="P33" s="55">
        <f t="shared" si="16"/>
        <v>-34.543548387096727</v>
      </c>
      <c r="Q33" s="39">
        <v>-2141.6999999999971</v>
      </c>
      <c r="R33" s="26"/>
      <c r="S33" s="39">
        <f t="shared" si="17"/>
        <v>30382.329999999973</v>
      </c>
      <c r="T33" s="6">
        <f>-3973+600</f>
        <v>-3373</v>
      </c>
      <c r="U33" s="383" t="s">
        <v>510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34" t="s">
        <v>298</v>
      </c>
      <c r="B34" s="7" t="s">
        <v>0</v>
      </c>
      <c r="C34" s="26" t="s">
        <v>33</v>
      </c>
      <c r="D34" s="54"/>
      <c r="E34" s="55" t="e">
        <f t="shared" si="13"/>
        <v>#DIV/0!</v>
      </c>
      <c r="F34" s="19">
        <v>0</v>
      </c>
      <c r="G34" s="56"/>
      <c r="H34" s="55"/>
      <c r="I34" s="19"/>
      <c r="J34" s="26"/>
      <c r="K34" s="55">
        <f t="shared" si="14"/>
        <v>6.6478481012658035</v>
      </c>
      <c r="L34" s="39">
        <v>525.17999999999847</v>
      </c>
      <c r="M34" s="26"/>
      <c r="N34" s="39">
        <f t="shared" si="15"/>
        <v>525.17999999999847</v>
      </c>
      <c r="O34" s="26"/>
      <c r="P34" s="55">
        <f t="shared" si="16"/>
        <v>5.536935483870967</v>
      </c>
      <c r="Q34" s="39">
        <v>343.28999999999996</v>
      </c>
      <c r="R34" s="26"/>
      <c r="S34" s="39">
        <f t="shared" si="17"/>
        <v>181.88999999999851</v>
      </c>
      <c r="T34" s="6"/>
      <c r="U34" s="6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34" t="s">
        <v>299</v>
      </c>
      <c r="B35" s="7" t="s">
        <v>0</v>
      </c>
      <c r="C35" s="14" t="s">
        <v>34</v>
      </c>
      <c r="D35" s="57"/>
      <c r="E35" s="58" t="e">
        <f t="shared" si="13"/>
        <v>#DIV/0!</v>
      </c>
      <c r="F35" s="31">
        <v>0</v>
      </c>
      <c r="G35" s="59"/>
      <c r="H35" s="58"/>
      <c r="I35" s="31"/>
      <c r="J35" s="14"/>
      <c r="K35" s="58">
        <f t="shared" si="14"/>
        <v>24.067341772151895</v>
      </c>
      <c r="L35" s="39">
        <v>1901.3199999999997</v>
      </c>
      <c r="M35" s="14"/>
      <c r="N35" s="61">
        <f t="shared" si="15"/>
        <v>1901.3199999999997</v>
      </c>
      <c r="O35" s="14"/>
      <c r="P35" s="58">
        <f t="shared" si="16"/>
        <v>0</v>
      </c>
      <c r="Q35" s="61">
        <v>0</v>
      </c>
      <c r="R35" s="14"/>
      <c r="S35" s="61">
        <f t="shared" si="17"/>
        <v>1901.3199999999997</v>
      </c>
      <c r="T35" s="6"/>
      <c r="U35" s="6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34" t="s">
        <v>300</v>
      </c>
      <c r="B36" s="7" t="s">
        <v>0</v>
      </c>
      <c r="C36" s="26" t="s">
        <v>35</v>
      </c>
      <c r="D36" s="54"/>
      <c r="E36" s="55" t="e">
        <f t="shared" si="13"/>
        <v>#DIV/0!</v>
      </c>
      <c r="F36" s="19">
        <v>0</v>
      </c>
      <c r="G36" s="56"/>
      <c r="H36" s="55"/>
      <c r="I36" s="19"/>
      <c r="J36" s="26"/>
      <c r="K36" s="55">
        <f t="shared" si="14"/>
        <v>-838.35860759493676</v>
      </c>
      <c r="L36" s="72">
        <v>-66230.33</v>
      </c>
      <c r="M36" s="26"/>
      <c r="N36" s="39">
        <f t="shared" si="15"/>
        <v>-66230.33</v>
      </c>
      <c r="O36" s="26"/>
      <c r="P36" s="55">
        <f t="shared" si="16"/>
        <v>-1597.146612903226</v>
      </c>
      <c r="Q36" s="39">
        <v>-99023.090000000011</v>
      </c>
      <c r="R36" s="26"/>
      <c r="S36" s="39">
        <f t="shared" si="17"/>
        <v>32792.760000000009</v>
      </c>
      <c r="T36" s="6"/>
      <c r="U36" s="6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34" t="s">
        <v>301</v>
      </c>
      <c r="B37" s="7" t="s">
        <v>0</v>
      </c>
      <c r="C37" s="26" t="s">
        <v>36</v>
      </c>
      <c r="D37" s="54"/>
      <c r="E37" s="55" t="e">
        <f t="shared" si="13"/>
        <v>#DIV/0!</v>
      </c>
      <c r="F37" s="19">
        <v>0</v>
      </c>
      <c r="G37" s="56"/>
      <c r="H37" s="55"/>
      <c r="I37" s="19"/>
      <c r="J37" s="26"/>
      <c r="K37" s="55">
        <f t="shared" si="14"/>
        <v>522.56708860759477</v>
      </c>
      <c r="L37" s="39">
        <v>41282.799999999988</v>
      </c>
      <c r="M37" s="26"/>
      <c r="N37" s="39">
        <f t="shared" si="15"/>
        <v>41282.799999999988</v>
      </c>
      <c r="O37" s="26"/>
      <c r="P37" s="55">
        <f t="shared" si="16"/>
        <v>702.84983870967653</v>
      </c>
      <c r="Q37" s="39">
        <v>43576.689999999944</v>
      </c>
      <c r="R37" s="26"/>
      <c r="S37" s="39">
        <f t="shared" si="17"/>
        <v>-2293.8899999999558</v>
      </c>
      <c r="T37" s="6"/>
      <c r="U37" s="6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34" t="s">
        <v>284</v>
      </c>
      <c r="B38" s="7" t="s">
        <v>0</v>
      </c>
      <c r="C38" s="26" t="s">
        <v>302</v>
      </c>
      <c r="D38" s="54"/>
      <c r="E38" s="55" t="e">
        <f t="shared" si="13"/>
        <v>#DIV/0!</v>
      </c>
      <c r="F38" s="19">
        <v>0</v>
      </c>
      <c r="G38" s="56"/>
      <c r="H38" s="55"/>
      <c r="I38" s="19"/>
      <c r="J38" s="26"/>
      <c r="K38" s="55">
        <f t="shared" si="14"/>
        <v>-1624.3030379746829</v>
      </c>
      <c r="L38" s="39">
        <v>-128319.93999999994</v>
      </c>
      <c r="M38" s="7"/>
      <c r="N38" s="39">
        <f t="shared" si="15"/>
        <v>-128319.93999999994</v>
      </c>
      <c r="O38" s="26"/>
      <c r="P38" s="55">
        <f t="shared" si="16"/>
        <v>-3558.1748387096786</v>
      </c>
      <c r="Q38" s="39">
        <v>-220606.84000000008</v>
      </c>
      <c r="R38" s="26"/>
      <c r="S38" s="39">
        <f t="shared" si="17"/>
        <v>92286.90000000014</v>
      </c>
      <c r="T38" s="6">
        <v>55741</v>
      </c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34" t="s">
        <v>284</v>
      </c>
      <c r="B39" s="7" t="s">
        <v>0</v>
      </c>
      <c r="C39" s="26" t="s">
        <v>303</v>
      </c>
      <c r="D39" s="54"/>
      <c r="E39" s="55" t="e">
        <f t="shared" si="13"/>
        <v>#DIV/0!</v>
      </c>
      <c r="F39" s="19">
        <v>0</v>
      </c>
      <c r="G39" s="56"/>
      <c r="H39" s="55"/>
      <c r="I39" s="19"/>
      <c r="J39" s="26"/>
      <c r="K39" s="55">
        <f t="shared" si="14"/>
        <v>-121.06151898734178</v>
      </c>
      <c r="L39" s="39">
        <v>-9563.86</v>
      </c>
      <c r="M39" s="7"/>
      <c r="N39" s="39">
        <f t="shared" si="15"/>
        <v>-9563.86</v>
      </c>
      <c r="O39" s="26"/>
      <c r="P39" s="55">
        <f t="shared" si="16"/>
        <v>0</v>
      </c>
      <c r="Q39" s="39">
        <v>0</v>
      </c>
      <c r="R39" s="26"/>
      <c r="S39" s="39">
        <f t="shared" si="17"/>
        <v>-9563.86</v>
      </c>
      <c r="T39" s="6">
        <v>-9564</v>
      </c>
      <c r="U39" s="97">
        <f>L39+L121+L194</f>
        <v>-11636.600000000008</v>
      </c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25" hidden="1" customHeight="1">
      <c r="A40" s="234" t="s">
        <v>284</v>
      </c>
      <c r="B40" s="7" t="s">
        <v>0</v>
      </c>
      <c r="C40" s="26" t="s">
        <v>19</v>
      </c>
      <c r="D40" s="54"/>
      <c r="E40" s="55" t="e">
        <f t="shared" si="13"/>
        <v>#DIV/0!</v>
      </c>
      <c r="F40" s="19">
        <v>0</v>
      </c>
      <c r="G40" s="56"/>
      <c r="H40" s="55"/>
      <c r="I40" s="19"/>
      <c r="J40" s="26"/>
      <c r="K40" s="55">
        <f t="shared" si="14"/>
        <v>0</v>
      </c>
      <c r="L40" s="299">
        <v>0</v>
      </c>
      <c r="M40" s="7"/>
      <c r="N40" s="39">
        <f t="shared" si="15"/>
        <v>0</v>
      </c>
      <c r="O40" s="26"/>
      <c r="P40" s="55">
        <f t="shared" si="16"/>
        <v>0</v>
      </c>
      <c r="Q40" s="299">
        <v>0</v>
      </c>
      <c r="R40" s="26"/>
      <c r="S40" s="39">
        <f t="shared" si="17"/>
        <v>0</v>
      </c>
      <c r="T40" s="6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" customHeight="1">
      <c r="A41" s="234" t="s">
        <v>304</v>
      </c>
      <c r="B41" s="7" t="s">
        <v>0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/>
      <c r="H41" s="63"/>
      <c r="I41" s="64"/>
      <c r="J41" s="65" t="s">
        <v>38</v>
      </c>
      <c r="K41" s="63">
        <f>L41/L$27</f>
        <v>-0.35108867402720179</v>
      </c>
      <c r="L41" s="64">
        <f>SUM(L31:L40)</f>
        <v>-76172.290000000008</v>
      </c>
      <c r="M41" s="66"/>
      <c r="N41" s="64">
        <f t="shared" si="15"/>
        <v>-76172.290000000008</v>
      </c>
      <c r="O41" s="65" t="s">
        <v>38</v>
      </c>
      <c r="P41" s="63">
        <f>Q41/Q$27</f>
        <v>-0.79058646093544327</v>
      </c>
      <c r="Q41" s="64">
        <f>SUM(Q31:Q40)</f>
        <v>-198993.15000000017</v>
      </c>
      <c r="R41" s="67"/>
      <c r="S41" s="64">
        <f t="shared" si="17"/>
        <v>122820.86000000016</v>
      </c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34" t="s">
        <v>305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/>
      <c r="J42" s="26"/>
      <c r="K42" s="7"/>
      <c r="L42" s="55">
        <v>21051.58</v>
      </c>
      <c r="M42" s="26"/>
      <c r="N42" s="39">
        <f t="shared" si="15"/>
        <v>21051.58</v>
      </c>
      <c r="O42" s="26"/>
      <c r="P42" s="7"/>
      <c r="Q42" s="55">
        <v>3195.3999999999942</v>
      </c>
      <c r="R42" s="26"/>
      <c r="S42" s="39">
        <f t="shared" si="17"/>
        <v>17856.180000000008</v>
      </c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34" t="s">
        <v>306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/>
      <c r="J43" s="26"/>
      <c r="K43" s="7"/>
      <c r="L43" s="61">
        <v>9795.2300000000105</v>
      </c>
      <c r="M43" s="26"/>
      <c r="N43" s="39">
        <f t="shared" si="15"/>
        <v>9795.2300000000105</v>
      </c>
      <c r="O43" s="26"/>
      <c r="P43" s="7"/>
      <c r="Q43" s="61">
        <v>33101.899999999994</v>
      </c>
      <c r="R43" s="26"/>
      <c r="S43" s="39">
        <f t="shared" si="17"/>
        <v>-23306.669999999984</v>
      </c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34" t="s">
        <v>307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/>
      <c r="J44" s="71"/>
      <c r="K44" s="69"/>
      <c r="L44" s="55">
        <v>12795.479999999996</v>
      </c>
      <c r="M44" s="71"/>
      <c r="N44" s="72">
        <f t="shared" si="15"/>
        <v>12795.479999999996</v>
      </c>
      <c r="O44" s="71"/>
      <c r="P44" s="69"/>
      <c r="Q44" s="55">
        <v>4615.0499999999993</v>
      </c>
      <c r="R44" s="71"/>
      <c r="S44" s="72">
        <f t="shared" si="17"/>
        <v>8180.4299999999967</v>
      </c>
      <c r="T44" s="6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25" hidden="1" customHeight="1">
      <c r="A45" s="234" t="s">
        <v>308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/>
      <c r="J45" s="26"/>
      <c r="K45" s="7"/>
      <c r="L45" s="55">
        <v>0</v>
      </c>
      <c r="M45" s="26"/>
      <c r="N45" s="39">
        <f t="shared" si="15"/>
        <v>0</v>
      </c>
      <c r="O45" s="26"/>
      <c r="P45" s="7"/>
      <c r="Q45" s="55">
        <v>0</v>
      </c>
      <c r="R45" s="26"/>
      <c r="S45" s="39">
        <f t="shared" si="17"/>
        <v>0</v>
      </c>
      <c r="T45" s="6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25" hidden="1" customHeight="1">
      <c r="A46" s="234" t="s">
        <v>284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/>
      <c r="J46" s="26"/>
      <c r="K46" s="7"/>
      <c r="L46" s="55">
        <v>0</v>
      </c>
      <c r="M46" s="26"/>
      <c r="N46" s="39">
        <f t="shared" si="15"/>
        <v>0</v>
      </c>
      <c r="O46" s="26"/>
      <c r="P46" s="7"/>
      <c r="Q46" s="55">
        <v>0</v>
      </c>
      <c r="R46" s="26"/>
      <c r="S46" s="39">
        <f t="shared" si="17"/>
        <v>0</v>
      </c>
      <c r="T46" s="6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25" hidden="1" customHeight="1">
      <c r="A47" s="234" t="s">
        <v>284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/>
      <c r="J47" s="26"/>
      <c r="K47" s="7"/>
      <c r="L47" s="55">
        <v>0</v>
      </c>
      <c r="M47" s="26"/>
      <c r="N47" s="39">
        <f t="shared" si="15"/>
        <v>0</v>
      </c>
      <c r="O47" s="26"/>
      <c r="P47" s="7"/>
      <c r="Q47" s="55">
        <v>0</v>
      </c>
      <c r="R47" s="26"/>
      <c r="S47" s="39">
        <f t="shared" si="17"/>
        <v>0</v>
      </c>
      <c r="T47" s="6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25" hidden="1" customHeight="1">
      <c r="A48" s="234" t="s">
        <v>284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/>
      <c r="J48" s="26"/>
      <c r="K48" s="7"/>
      <c r="L48" s="55">
        <v>0</v>
      </c>
      <c r="M48" s="26"/>
      <c r="N48" s="39">
        <f t="shared" si="15"/>
        <v>0</v>
      </c>
      <c r="O48" s="26"/>
      <c r="P48" s="7"/>
      <c r="Q48" s="55">
        <v>0</v>
      </c>
      <c r="R48" s="26"/>
      <c r="S48" s="39">
        <f t="shared" si="17"/>
        <v>0</v>
      </c>
      <c r="T48" s="6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34" t="s">
        <v>309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/>
      <c r="J49" s="26"/>
      <c r="K49" s="7"/>
      <c r="L49" s="61">
        <v>9384.07</v>
      </c>
      <c r="M49" s="26"/>
      <c r="N49" s="39">
        <f t="shared" si="15"/>
        <v>9384.07</v>
      </c>
      <c r="O49" s="26"/>
      <c r="P49" s="7"/>
      <c r="Q49" s="61">
        <v>13387.36</v>
      </c>
      <c r="R49" s="26"/>
      <c r="S49" s="39">
        <f t="shared" si="17"/>
        <v>-4003.2900000000009</v>
      </c>
      <c r="T49" s="6"/>
      <c r="U49" s="6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34" t="s">
        <v>310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/>
      <c r="J50" s="71"/>
      <c r="K50" s="69"/>
      <c r="L50" s="55">
        <v>7549.1699999999983</v>
      </c>
      <c r="M50" s="71"/>
      <c r="N50" s="72">
        <f t="shared" si="15"/>
        <v>7549.1699999999983</v>
      </c>
      <c r="O50" s="71"/>
      <c r="P50" s="69"/>
      <c r="Q50" s="55">
        <v>14720.75</v>
      </c>
      <c r="R50" s="71"/>
      <c r="S50" s="72">
        <f t="shared" si="17"/>
        <v>-7171.5800000000017</v>
      </c>
      <c r="T50" s="6"/>
      <c r="U50" s="6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34" t="s">
        <v>311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/>
      <c r="J51" s="26"/>
      <c r="K51" s="7"/>
      <c r="L51" s="55">
        <v>3038.7299999999996</v>
      </c>
      <c r="M51" s="26"/>
      <c r="N51" s="39">
        <f t="shared" si="15"/>
        <v>3038.7299999999996</v>
      </c>
      <c r="O51" s="26"/>
      <c r="P51" s="7"/>
      <c r="Q51" s="55">
        <v>4541.75</v>
      </c>
      <c r="R51" s="26"/>
      <c r="S51" s="39">
        <f t="shared" si="17"/>
        <v>-1503.0200000000004</v>
      </c>
      <c r="T51" s="6"/>
      <c r="U51" s="6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34" t="s">
        <v>312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/>
      <c r="J52" s="26"/>
      <c r="K52" s="7"/>
      <c r="L52" s="55">
        <v>3813.6500000000015</v>
      </c>
      <c r="M52" s="26"/>
      <c r="N52" s="39">
        <f t="shared" si="15"/>
        <v>3813.6500000000015</v>
      </c>
      <c r="O52" s="26"/>
      <c r="P52" s="7"/>
      <c r="Q52" s="55">
        <v>0.15999999999996817</v>
      </c>
      <c r="R52" s="26"/>
      <c r="S52" s="39">
        <f t="shared" si="17"/>
        <v>3813.4900000000016</v>
      </c>
      <c r="T52" s="6"/>
      <c r="U52" s="6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25" hidden="1" customHeight="1">
      <c r="A53" s="234" t="s">
        <v>284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>
        <v>0</v>
      </c>
      <c r="G53" s="59"/>
      <c r="H53" s="73"/>
      <c r="I53" s="19"/>
      <c r="J53" s="14"/>
      <c r="K53" s="73"/>
      <c r="L53" s="39">
        <v>0</v>
      </c>
      <c r="M53" s="14"/>
      <c r="N53" s="61">
        <f t="shared" si="15"/>
        <v>0</v>
      </c>
      <c r="O53" s="14"/>
      <c r="P53" s="73"/>
      <c r="Q53" s="39">
        <v>0</v>
      </c>
      <c r="R53" s="14"/>
      <c r="S53" s="61">
        <f t="shared" si="17"/>
        <v>0</v>
      </c>
      <c r="T53" s="6"/>
      <c r="U53" s="6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" customHeight="1">
      <c r="A54" s="234" t="s">
        <v>313</v>
      </c>
      <c r="B54" s="7" t="s">
        <v>0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/>
      <c r="H54" s="63"/>
      <c r="I54" s="64"/>
      <c r="J54" s="65" t="s">
        <v>38</v>
      </c>
      <c r="K54" s="63">
        <f>L54/L$27</f>
        <v>0.31078461096975685</v>
      </c>
      <c r="L54" s="64">
        <f>+SUM(L42:L53)</f>
        <v>67427.91</v>
      </c>
      <c r="M54" s="66"/>
      <c r="N54" s="64">
        <f>+SUM(N42:N53)</f>
        <v>67427.91</v>
      </c>
      <c r="O54" s="65" t="s">
        <v>38</v>
      </c>
      <c r="P54" s="63">
        <f>Q54/Q$27</f>
        <v>0.29225837048322301</v>
      </c>
      <c r="Q54" s="64">
        <f>+SUM(Q42:Q53)</f>
        <v>73562.37</v>
      </c>
      <c r="R54" s="67"/>
      <c r="S54" s="64">
        <f>+SUM(S42:S53)</f>
        <v>-6134.4599999999809</v>
      </c>
      <c r="T54" s="6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25" hidden="1" customHeight="1">
      <c r="A55" s="234" t="s">
        <v>314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/>
      <c r="J55" s="26"/>
      <c r="K55" s="7"/>
      <c r="L55" s="39">
        <v>0</v>
      </c>
      <c r="M55" s="26"/>
      <c r="N55" s="39">
        <f t="shared" ref="N55:N71" si="18">L55-F55</f>
        <v>0</v>
      </c>
      <c r="O55" s="26"/>
      <c r="P55" s="7"/>
      <c r="Q55" s="39">
        <v>0</v>
      </c>
      <c r="R55" s="26"/>
      <c r="S55" s="39">
        <f t="shared" ref="S55:S71" si="19">L55-Q55</f>
        <v>0</v>
      </c>
      <c r="T55" s="97"/>
      <c r="U55" s="6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25" hidden="1" customHeight="1">
      <c r="A56" s="234" t="s">
        <v>315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/>
      <c r="J56" s="26"/>
      <c r="K56" s="7"/>
      <c r="L56" s="39">
        <v>0</v>
      </c>
      <c r="M56" s="26"/>
      <c r="N56" s="39">
        <f t="shared" si="18"/>
        <v>0</v>
      </c>
      <c r="O56" s="26"/>
      <c r="P56" s="7"/>
      <c r="Q56" s="39">
        <v>0</v>
      </c>
      <c r="R56" s="26"/>
      <c r="S56" s="39">
        <f t="shared" si="19"/>
        <v>0</v>
      </c>
      <c r="T56" s="97"/>
      <c r="U56" s="6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8.75" customHeight="1">
      <c r="A57" s="234" t="s">
        <v>316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/>
      <c r="J57" s="14"/>
      <c r="K57" s="73"/>
      <c r="L57" s="61">
        <v>6931.8999999999942</v>
      </c>
      <c r="M57" s="14"/>
      <c r="N57" s="61">
        <f t="shared" si="18"/>
        <v>6931.8999999999942</v>
      </c>
      <c r="O57" s="14"/>
      <c r="P57" s="73"/>
      <c r="Q57" s="61">
        <v>9251.3499999999913</v>
      </c>
      <c r="R57" s="14"/>
      <c r="S57" s="61">
        <f t="shared" si="19"/>
        <v>-2319.4499999999971</v>
      </c>
      <c r="T57" s="406"/>
      <c r="U57" s="6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34" t="s">
        <v>317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/>
      <c r="J58" s="26"/>
      <c r="K58" s="7"/>
      <c r="L58" s="39">
        <v>3443.6800000000003</v>
      </c>
      <c r="M58" s="26"/>
      <c r="N58" s="39">
        <f t="shared" si="18"/>
        <v>3443.6800000000003</v>
      </c>
      <c r="O58" s="26"/>
      <c r="P58" s="7"/>
      <c r="Q58" s="39">
        <v>3035.2900000000009</v>
      </c>
      <c r="R58" s="26"/>
      <c r="S58" s="39">
        <f t="shared" si="19"/>
        <v>408.38999999999942</v>
      </c>
      <c r="T58" s="97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34" t="s">
        <v>318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/>
      <c r="J59" s="26"/>
      <c r="K59" s="7"/>
      <c r="L59" s="39">
        <v>-514.76000000000022</v>
      </c>
      <c r="M59" s="26"/>
      <c r="N59" s="39">
        <f t="shared" si="18"/>
        <v>-514.76000000000022</v>
      </c>
      <c r="O59" s="26"/>
      <c r="P59" s="7"/>
      <c r="Q59" s="39">
        <v>11699.529999999999</v>
      </c>
      <c r="R59" s="26"/>
      <c r="S59" s="39">
        <f t="shared" si="19"/>
        <v>-12214.289999999999</v>
      </c>
      <c r="T59" s="6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34" t="s">
        <v>319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/>
      <c r="J60" s="14"/>
      <c r="K60" s="73"/>
      <c r="L60" s="61">
        <v>4676.7999999999993</v>
      </c>
      <c r="M60" s="14"/>
      <c r="N60" s="61">
        <f t="shared" si="18"/>
        <v>4676.7999999999993</v>
      </c>
      <c r="O60" s="14"/>
      <c r="P60" s="73"/>
      <c r="Q60" s="61">
        <v>8700.1800000000039</v>
      </c>
      <c r="R60" s="14"/>
      <c r="S60" s="61">
        <f t="shared" si="19"/>
        <v>-4023.3800000000047</v>
      </c>
      <c r="T60" s="6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34" t="s">
        <v>320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/>
      <c r="J61" s="26"/>
      <c r="K61" s="7"/>
      <c r="L61" s="39">
        <v>252.29999999999973</v>
      </c>
      <c r="M61" s="26"/>
      <c r="N61" s="39">
        <f t="shared" si="18"/>
        <v>252.29999999999973</v>
      </c>
      <c r="O61" s="26"/>
      <c r="P61" s="7"/>
      <c r="Q61" s="39">
        <v>255.26999999999953</v>
      </c>
      <c r="R61" s="26"/>
      <c r="S61" s="39">
        <f t="shared" si="19"/>
        <v>-2.9699999999997999</v>
      </c>
      <c r="T61" s="6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34" t="s">
        <v>321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/>
      <c r="J62" s="26"/>
      <c r="K62" s="7"/>
      <c r="L62" s="39">
        <v>0</v>
      </c>
      <c r="M62" s="26"/>
      <c r="N62" s="39">
        <f t="shared" si="18"/>
        <v>0</v>
      </c>
      <c r="O62" s="26"/>
      <c r="P62" s="7"/>
      <c r="Q62" s="39">
        <v>0</v>
      </c>
      <c r="R62" s="26"/>
      <c r="S62" s="39">
        <f t="shared" si="19"/>
        <v>0</v>
      </c>
      <c r="T62" s="6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34" t="s">
        <v>322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/>
      <c r="J63" s="26"/>
      <c r="K63" s="7"/>
      <c r="L63" s="39">
        <v>740.47999999999956</v>
      </c>
      <c r="M63" s="26"/>
      <c r="N63" s="39">
        <f t="shared" si="18"/>
        <v>740.47999999999956</v>
      </c>
      <c r="O63" s="26"/>
      <c r="P63" s="7"/>
      <c r="Q63" s="39">
        <v>2766.0299999999988</v>
      </c>
      <c r="R63" s="26"/>
      <c r="S63" s="39">
        <f t="shared" si="19"/>
        <v>-2025.5499999999993</v>
      </c>
      <c r="T63" s="6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34" t="s">
        <v>323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/>
      <c r="J64" s="26"/>
      <c r="K64" s="7"/>
      <c r="L64" s="39">
        <v>633.19000000000051</v>
      </c>
      <c r="M64" s="26"/>
      <c r="N64" s="39">
        <f t="shared" si="18"/>
        <v>633.19000000000051</v>
      </c>
      <c r="O64" s="26"/>
      <c r="P64" s="7"/>
      <c r="Q64" s="39">
        <v>157.96999999999935</v>
      </c>
      <c r="R64" s="26"/>
      <c r="S64" s="39">
        <f t="shared" si="19"/>
        <v>475.22000000000116</v>
      </c>
      <c r="T64" s="6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34" t="s">
        <v>324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/>
      <c r="J65" s="26"/>
      <c r="K65" s="7"/>
      <c r="L65" s="39">
        <v>1314.3499999999985</v>
      </c>
      <c r="M65" s="26"/>
      <c r="N65" s="39">
        <f t="shared" si="18"/>
        <v>1314.3499999999985</v>
      </c>
      <c r="O65" s="26"/>
      <c r="P65" s="7"/>
      <c r="Q65" s="39">
        <v>1214.46</v>
      </c>
      <c r="R65" s="26"/>
      <c r="S65" s="39">
        <f t="shared" si="19"/>
        <v>99.889999999998508</v>
      </c>
      <c r="T65" s="6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34" t="s">
        <v>325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/>
      <c r="J66" s="26"/>
      <c r="K66" s="7"/>
      <c r="L66" s="39">
        <v>3705.26</v>
      </c>
      <c r="M66" s="26"/>
      <c r="N66" s="39">
        <f t="shared" si="18"/>
        <v>3705.26</v>
      </c>
      <c r="O66" s="26"/>
      <c r="P66" s="7"/>
      <c r="Q66" s="39">
        <v>4629.3500000000004</v>
      </c>
      <c r="R66" s="26"/>
      <c r="S66" s="39">
        <f t="shared" si="19"/>
        <v>-924.09000000000015</v>
      </c>
      <c r="T66" s="6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34" t="s">
        <v>326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/>
      <c r="J67" s="26"/>
      <c r="K67" s="7"/>
      <c r="L67" s="39">
        <v>570</v>
      </c>
      <c r="M67" s="26"/>
      <c r="N67" s="39">
        <f t="shared" si="18"/>
        <v>570</v>
      </c>
      <c r="O67" s="26"/>
      <c r="P67" s="7"/>
      <c r="Q67" s="39">
        <v>965</v>
      </c>
      <c r="R67" s="26"/>
      <c r="S67" s="39">
        <f t="shared" si="19"/>
        <v>-395</v>
      </c>
      <c r="T67" s="6"/>
      <c r="U67" s="6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34" t="s">
        <v>327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/>
      <c r="J68" s="26"/>
      <c r="K68" s="7"/>
      <c r="L68" s="39">
        <v>2389.3399999999983</v>
      </c>
      <c r="M68" s="26"/>
      <c r="N68" s="39">
        <f t="shared" si="18"/>
        <v>2389.3399999999983</v>
      </c>
      <c r="O68" s="26"/>
      <c r="P68" s="7"/>
      <c r="Q68" s="39">
        <v>385.63000000000011</v>
      </c>
      <c r="R68" s="26"/>
      <c r="S68" s="39">
        <f t="shared" si="19"/>
        <v>2003.7099999999982</v>
      </c>
      <c r="T68" s="6"/>
      <c r="U68" s="6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25" hidden="1" customHeight="1">
      <c r="A69" s="234" t="s">
        <v>284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/>
      <c r="J69" s="26"/>
      <c r="K69" s="7"/>
      <c r="L69" s="39"/>
      <c r="M69" s="26"/>
      <c r="N69" s="39">
        <f t="shared" si="18"/>
        <v>0</v>
      </c>
      <c r="O69" s="26"/>
      <c r="P69" s="7"/>
      <c r="Q69" s="39"/>
      <c r="R69" s="26"/>
      <c r="S69" s="39">
        <f t="shared" si="19"/>
        <v>0</v>
      </c>
      <c r="T69" s="6"/>
      <c r="U69" s="6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25" hidden="1" customHeight="1">
      <c r="A70" s="234" t="s">
        <v>284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/>
      <c r="J70" s="26"/>
      <c r="K70" s="7"/>
      <c r="L70" s="39">
        <v>0</v>
      </c>
      <c r="M70" s="26"/>
      <c r="N70" s="39">
        <f t="shared" si="18"/>
        <v>0</v>
      </c>
      <c r="O70" s="26"/>
      <c r="P70" s="7"/>
      <c r="Q70" s="39">
        <v>0</v>
      </c>
      <c r="R70" s="26"/>
      <c r="S70" s="39">
        <f t="shared" si="19"/>
        <v>0</v>
      </c>
      <c r="T70" s="6"/>
      <c r="U70" s="6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25" hidden="1" customHeight="1">
      <c r="A71" s="234" t="s">
        <v>284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/>
      <c r="J71" s="26"/>
      <c r="K71" s="7"/>
      <c r="L71" s="39">
        <v>0</v>
      </c>
      <c r="M71" s="26"/>
      <c r="N71" s="39">
        <f t="shared" si="18"/>
        <v>0</v>
      </c>
      <c r="O71" s="26"/>
      <c r="P71" s="7"/>
      <c r="Q71" s="39">
        <v>0</v>
      </c>
      <c r="R71" s="26"/>
      <c r="S71" s="39">
        <f t="shared" si="19"/>
        <v>0</v>
      </c>
      <c r="T71" s="6"/>
      <c r="U71" s="6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" customHeight="1">
      <c r="A72" s="234" t="s">
        <v>328</v>
      </c>
      <c r="B72" s="7" t="s">
        <v>0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/>
      <c r="H72" s="63"/>
      <c r="I72" s="64"/>
      <c r="J72" s="65" t="s">
        <v>38</v>
      </c>
      <c r="K72" s="63">
        <f>L72/L$27</f>
        <v>0.11127632313862003</v>
      </c>
      <c r="L72" s="64">
        <f>+SUM(L55:L71)</f>
        <v>24142.539999999986</v>
      </c>
      <c r="M72" s="66"/>
      <c r="N72" s="64">
        <f>+SUM(N55:N71)</f>
        <v>24142.539999999986</v>
      </c>
      <c r="O72" s="65" t="s">
        <v>38</v>
      </c>
      <c r="P72" s="63">
        <f>Q72/Q$27</f>
        <v>0.17107473520102479</v>
      </c>
      <c r="Q72" s="64">
        <f>+SUM(Q55:Q71)</f>
        <v>43060.05999999999</v>
      </c>
      <c r="R72" s="67"/>
      <c r="S72" s="64">
        <f>+SUM(S55:S71)</f>
        <v>-18917.520000000004</v>
      </c>
      <c r="T72" s="6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34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6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" customHeight="1">
      <c r="A74" s="234" t="s">
        <v>329</v>
      </c>
      <c r="B74" s="7" t="s">
        <v>0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/>
      <c r="H74" s="63"/>
      <c r="I74" s="64"/>
      <c r="J74" s="65" t="s">
        <v>38</v>
      </c>
      <c r="K74" s="63">
        <f>L74/L$27</f>
        <v>7.0972260081175062E-2</v>
      </c>
      <c r="L74" s="64">
        <f>L41+L54+L72</f>
        <v>15398.159999999982</v>
      </c>
      <c r="M74" s="66"/>
      <c r="N74" s="64">
        <f t="shared" ref="N74:N82" si="20">L74-F74</f>
        <v>15398.159999999982</v>
      </c>
      <c r="O74" s="65" t="s">
        <v>38</v>
      </c>
      <c r="P74" s="63">
        <f>Q74/Q$27</f>
        <v>-0.32725335525119542</v>
      </c>
      <c r="Q74" s="64">
        <f>Q41+Q54+Q72</f>
        <v>-82370.720000000176</v>
      </c>
      <c r="R74" s="67"/>
      <c r="S74" s="64">
        <f t="shared" ref="S74:S82" si="21">L74-Q74</f>
        <v>97768.88000000015</v>
      </c>
      <c r="T74" s="6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5.75" customHeight="1">
      <c r="A75" s="234" t="s">
        <v>330</v>
      </c>
      <c r="B75" s="7" t="s">
        <v>0</v>
      </c>
      <c r="C75" s="26" t="s">
        <v>331</v>
      </c>
      <c r="D75" s="54"/>
      <c r="E75" s="7"/>
      <c r="F75" s="19">
        <v>0</v>
      </c>
      <c r="G75" s="56"/>
      <c r="H75" s="7"/>
      <c r="I75" s="19"/>
      <c r="J75" s="26"/>
      <c r="K75" s="7"/>
      <c r="L75" s="39">
        <v>51135.709999999992</v>
      </c>
      <c r="M75" s="26"/>
      <c r="N75" s="39">
        <f t="shared" si="20"/>
        <v>51135.709999999992</v>
      </c>
      <c r="O75" s="26"/>
      <c r="P75" s="7"/>
      <c r="Q75" s="39">
        <v>26831.50999999998</v>
      </c>
      <c r="R75" s="26"/>
      <c r="S75" s="39">
        <f t="shared" si="21"/>
        <v>24304.200000000012</v>
      </c>
      <c r="T75" s="6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5.75" hidden="1" customHeight="1">
      <c r="A76" s="234" t="s">
        <v>332</v>
      </c>
      <c r="B76" s="7" t="s">
        <v>0</v>
      </c>
      <c r="C76" s="436" t="s">
        <v>186</v>
      </c>
      <c r="D76" s="54"/>
      <c r="E76" s="7"/>
      <c r="F76" s="19">
        <v>0</v>
      </c>
      <c r="G76" s="56"/>
      <c r="H76" s="7"/>
      <c r="I76" s="19"/>
      <c r="J76" s="26"/>
      <c r="K76" s="7"/>
      <c r="L76" s="39">
        <v>0</v>
      </c>
      <c r="M76" s="26"/>
      <c r="N76" s="39">
        <f t="shared" si="20"/>
        <v>0</v>
      </c>
      <c r="O76" s="26"/>
      <c r="P76" s="7"/>
      <c r="Q76" s="39">
        <v>0</v>
      </c>
      <c r="R76" s="26"/>
      <c r="S76" s="39">
        <f t="shared" si="21"/>
        <v>0</v>
      </c>
      <c r="T76" s="6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5.75" hidden="1" customHeight="1">
      <c r="A77" s="234" t="s">
        <v>333</v>
      </c>
      <c r="B77" s="7" t="s">
        <v>0</v>
      </c>
      <c r="C77" s="436" t="s">
        <v>65</v>
      </c>
      <c r="D77" s="54"/>
      <c r="E77" s="7"/>
      <c r="F77" s="19">
        <v>0</v>
      </c>
      <c r="G77" s="56"/>
      <c r="H77" s="7"/>
      <c r="I77" s="19"/>
      <c r="J77" s="26"/>
      <c r="K77" s="7"/>
      <c r="L77" s="39">
        <v>0</v>
      </c>
      <c r="M77" s="26"/>
      <c r="N77" s="39">
        <f t="shared" si="20"/>
        <v>0</v>
      </c>
      <c r="O77" s="26"/>
      <c r="P77" s="7"/>
      <c r="Q77" s="39">
        <v>0</v>
      </c>
      <c r="R77" s="26"/>
      <c r="S77" s="39">
        <f t="shared" si="21"/>
        <v>0</v>
      </c>
      <c r="T77" s="6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5.75" hidden="1" customHeight="1">
      <c r="A78" s="234" t="s">
        <v>334</v>
      </c>
      <c r="B78" s="7" t="s">
        <v>0</v>
      </c>
      <c r="C78" s="436" t="s">
        <v>66</v>
      </c>
      <c r="D78" s="54"/>
      <c r="E78" s="274" t="e">
        <f>+F78/D27</f>
        <v>#DIV/0!</v>
      </c>
      <c r="F78" s="19">
        <v>0</v>
      </c>
      <c r="G78" s="56"/>
      <c r="H78" s="7"/>
      <c r="I78" s="19"/>
      <c r="J78" s="437"/>
      <c r="K78" s="274">
        <f>+L78/J27</f>
        <v>0</v>
      </c>
      <c r="L78" s="39">
        <v>0</v>
      </c>
      <c r="M78" s="26"/>
      <c r="N78" s="39">
        <f t="shared" si="20"/>
        <v>0</v>
      </c>
      <c r="O78" s="437"/>
      <c r="P78" s="274">
        <f>+Q78/O27</f>
        <v>0</v>
      </c>
      <c r="Q78" s="39">
        <v>0</v>
      </c>
      <c r="R78" s="26"/>
      <c r="S78" s="39">
        <f t="shared" si="21"/>
        <v>0</v>
      </c>
      <c r="T78" s="6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5.75" hidden="1" customHeight="1">
      <c r="A79" s="234" t="s">
        <v>284</v>
      </c>
      <c r="B79" s="7" t="s">
        <v>0</v>
      </c>
      <c r="C79" s="436" t="s">
        <v>19</v>
      </c>
      <c r="D79" s="54"/>
      <c r="E79" s="7"/>
      <c r="F79" s="19">
        <v>0</v>
      </c>
      <c r="G79" s="56"/>
      <c r="H79" s="7"/>
      <c r="I79" s="19"/>
      <c r="J79" s="26"/>
      <c r="K79" s="7"/>
      <c r="L79" s="39">
        <v>0</v>
      </c>
      <c r="M79" s="26"/>
      <c r="N79" s="39">
        <f t="shared" si="20"/>
        <v>0</v>
      </c>
      <c r="O79" s="26"/>
      <c r="P79" s="7"/>
      <c r="Q79" s="39">
        <v>0</v>
      </c>
      <c r="R79" s="26"/>
      <c r="S79" s="39">
        <f t="shared" si="21"/>
        <v>0</v>
      </c>
      <c r="T79" s="6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5.75" hidden="1" customHeight="1">
      <c r="A80" s="234" t="s">
        <v>284</v>
      </c>
      <c r="B80" s="7" t="s">
        <v>0</v>
      </c>
      <c r="C80" s="436" t="s">
        <v>19</v>
      </c>
      <c r="D80" s="54"/>
      <c r="E80" s="7"/>
      <c r="F80" s="19">
        <v>0</v>
      </c>
      <c r="G80" s="56"/>
      <c r="H80" s="7"/>
      <c r="I80" s="19"/>
      <c r="J80" s="26"/>
      <c r="K80" s="7"/>
      <c r="L80" s="39">
        <v>0</v>
      </c>
      <c r="M80" s="26"/>
      <c r="N80" s="39">
        <f t="shared" si="20"/>
        <v>0</v>
      </c>
      <c r="O80" s="26"/>
      <c r="P80" s="7"/>
      <c r="Q80" s="39">
        <v>0</v>
      </c>
      <c r="R80" s="26"/>
      <c r="S80" s="39">
        <f t="shared" si="21"/>
        <v>0</v>
      </c>
      <c r="T80" s="6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5.75" hidden="1" customHeight="1">
      <c r="A81" s="234" t="s">
        <v>284</v>
      </c>
      <c r="B81" s="7" t="s">
        <v>0</v>
      </c>
      <c r="C81" s="436" t="s">
        <v>19</v>
      </c>
      <c r="D81" s="54"/>
      <c r="E81" s="7"/>
      <c r="F81" s="19">
        <v>0</v>
      </c>
      <c r="G81" s="56"/>
      <c r="H81" s="7"/>
      <c r="I81" s="19"/>
      <c r="J81" s="26"/>
      <c r="K81" s="7"/>
      <c r="L81" s="39">
        <v>0</v>
      </c>
      <c r="M81" s="26"/>
      <c r="N81" s="39">
        <f t="shared" si="20"/>
        <v>0</v>
      </c>
      <c r="O81" s="26"/>
      <c r="P81" s="7"/>
      <c r="Q81" s="39">
        <v>0</v>
      </c>
      <c r="R81" s="26"/>
      <c r="S81" s="39">
        <f t="shared" si="21"/>
        <v>0</v>
      </c>
      <c r="T81" s="6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5.75" customHeight="1">
      <c r="A82" s="234" t="s">
        <v>335</v>
      </c>
      <c r="B82" s="7" t="s">
        <v>0</v>
      </c>
      <c r="C82" s="26" t="s">
        <v>67</v>
      </c>
      <c r="D82" s="438" t="e">
        <f>E82/499</f>
        <v>#DIV/0!</v>
      </c>
      <c r="E82" s="274" t="e">
        <f>+F82/D24</f>
        <v>#DIV/0!</v>
      </c>
      <c r="F82" s="19">
        <v>0</v>
      </c>
      <c r="G82" s="56"/>
      <c r="H82" s="7"/>
      <c r="I82" s="19"/>
      <c r="J82" s="439">
        <f>K82/699</f>
        <v>0.88071566976331472</v>
      </c>
      <c r="K82" s="274">
        <f>+L82/J24</f>
        <v>615.62025316455697</v>
      </c>
      <c r="L82" s="39">
        <v>48634</v>
      </c>
      <c r="M82" s="26"/>
      <c r="N82" s="39">
        <f t="shared" si="20"/>
        <v>48634</v>
      </c>
      <c r="O82" s="439">
        <f>P82/699</f>
        <v>0</v>
      </c>
      <c r="P82" s="274">
        <f>+Q82/O24</f>
        <v>0</v>
      </c>
      <c r="Q82" s="39">
        <v>0</v>
      </c>
      <c r="R82" s="26"/>
      <c r="S82" s="39">
        <f t="shared" si="21"/>
        <v>48634</v>
      </c>
      <c r="T82" s="6"/>
      <c r="U82" s="6" t="s">
        <v>516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" customHeight="1">
      <c r="A83" s="234" t="s">
        <v>336</v>
      </c>
      <c r="B83" s="7" t="s">
        <v>0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/>
      <c r="J83" s="65"/>
      <c r="K83" s="63"/>
      <c r="L83" s="64">
        <f>+SUM(L75:L82)</f>
        <v>99769.709999999992</v>
      </c>
      <c r="M83" s="66"/>
      <c r="N83" s="64">
        <f>+SUM(N75:N82)</f>
        <v>99769.709999999992</v>
      </c>
      <c r="O83" s="65"/>
      <c r="P83" s="63"/>
      <c r="Q83" s="64">
        <f>+SUM(Q75:Q82)</f>
        <v>26831.50999999998</v>
      </c>
      <c r="R83" s="67"/>
      <c r="S83" s="64">
        <f>+SUM(S75:S82)</f>
        <v>72938.200000000012</v>
      </c>
      <c r="T83" s="6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34" t="s">
        <v>0</v>
      </c>
      <c r="B84" s="7" t="s">
        <v>0</v>
      </c>
      <c r="C84" s="304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6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" customHeight="1" thickBot="1">
      <c r="A85" s="234" t="s">
        <v>337</v>
      </c>
      <c r="B85" s="7" t="s">
        <v>0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/>
      <c r="J85" s="279"/>
      <c r="K85" s="278"/>
      <c r="L85" s="138">
        <f>L27-L74+L83</f>
        <v>301331.81000000873</v>
      </c>
      <c r="M85" s="280"/>
      <c r="N85" s="138">
        <f>N27-N41-N54-N72+N83</f>
        <v>301331.81000000873</v>
      </c>
      <c r="O85" s="279"/>
      <c r="P85" s="278"/>
      <c r="Q85" s="138">
        <f>Q27-Q74+Q83</f>
        <v>360905.44000001217</v>
      </c>
      <c r="R85" s="281"/>
      <c r="S85" s="138">
        <f>S27-S41-S54-S72+S83</f>
        <v>-59573.630000003439</v>
      </c>
      <c r="T85" s="6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5"/>
      <c r="K86" s="82"/>
      <c r="L86" s="440"/>
      <c r="M86" s="82"/>
      <c r="N86" s="82"/>
      <c r="O86" s="82"/>
      <c r="P86" s="82"/>
      <c r="Q86" s="83"/>
      <c r="R86" s="82"/>
      <c r="S86" s="82"/>
      <c r="T86" s="6"/>
      <c r="U86" s="6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6"/>
      <c r="U87" s="6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429" t="str">
        <f>C1</f>
        <v>Ste-Marie Auto</v>
      </c>
      <c r="D89" s="430"/>
      <c r="E89" s="431"/>
      <c r="F89" s="430"/>
      <c r="G89" s="430"/>
      <c r="H89" s="429"/>
      <c r="I89" s="430"/>
      <c r="J89" s="429"/>
      <c r="K89" s="432" t="s">
        <v>70</v>
      </c>
      <c r="L89" s="430"/>
      <c r="M89" s="430"/>
      <c r="N89" s="433"/>
      <c r="O89" s="429"/>
      <c r="P89" s="430"/>
      <c r="Q89" s="429"/>
      <c r="R89" s="430"/>
      <c r="S89" s="434" t="str">
        <f>$S$1</f>
        <v>Réalisé, Septembre 2026</v>
      </c>
      <c r="T89" s="381"/>
      <c r="U89" s="381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426" t="s">
        <v>5</v>
      </c>
      <c r="E91" s="427"/>
      <c r="F91" s="425"/>
      <c r="G91" s="424"/>
      <c r="H91" s="427"/>
      <c r="I91" s="425"/>
      <c r="J91" s="424" t="s">
        <v>7</v>
      </c>
      <c r="K91" s="427"/>
      <c r="L91" s="425"/>
      <c r="M91" s="424" t="s">
        <v>210</v>
      </c>
      <c r="N91" s="425"/>
      <c r="O91" s="426" t="s">
        <v>8</v>
      </c>
      <c r="P91" s="427"/>
      <c r="Q91" s="425"/>
      <c r="R91" s="424" t="s">
        <v>211</v>
      </c>
      <c r="S91" s="425"/>
      <c r="T91" s="6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220</v>
      </c>
      <c r="K92" s="9" t="s">
        <v>13</v>
      </c>
      <c r="L92" s="10" t="s">
        <v>12</v>
      </c>
      <c r="M92" s="11" t="s">
        <v>220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220</v>
      </c>
      <c r="S92" s="10" t="s">
        <v>12</v>
      </c>
      <c r="T92" s="6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34" t="s">
        <v>221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/>
      <c r="J93" s="14"/>
      <c r="K93" s="58"/>
      <c r="L93" s="61">
        <v>1404913.7299999997</v>
      </c>
      <c r="M93" s="86"/>
      <c r="N93" s="87"/>
      <c r="O93" s="14"/>
      <c r="P93" s="58"/>
      <c r="Q93" s="61">
        <v>2798079.140000002</v>
      </c>
      <c r="R93" s="307"/>
      <c r="S93" s="286"/>
      <c r="T93" s="6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34" t="s">
        <v>223</v>
      </c>
      <c r="B94" s="7" t="s">
        <v>70</v>
      </c>
      <c r="C94" s="26" t="s">
        <v>72</v>
      </c>
      <c r="D94" s="19">
        <v>0</v>
      </c>
      <c r="E94" s="19">
        <f t="shared" ref="E94:E98" si="22">IF(D94=0,0,F94/D94)</f>
        <v>0</v>
      </c>
      <c r="F94" s="19">
        <v>0</v>
      </c>
      <c r="G94" s="20"/>
      <c r="H94" s="19"/>
      <c r="I94" s="19"/>
      <c r="J94" s="20">
        <v>0</v>
      </c>
      <c r="K94" s="55">
        <f t="shared" ref="K94:K96" si="23">IF(J94=0,0,L94/J94)</f>
        <v>0</v>
      </c>
      <c r="L94" s="39">
        <v>0</v>
      </c>
      <c r="M94" s="20">
        <f t="shared" ref="M94:M97" si="24">J94-D94</f>
        <v>0</v>
      </c>
      <c r="N94" s="21">
        <f t="shared" ref="N94:N97" si="25">L94-F94</f>
        <v>0</v>
      </c>
      <c r="O94" s="20">
        <v>0</v>
      </c>
      <c r="P94" s="55">
        <f t="shared" ref="P94:P96" si="26">IF(O94=0,0,Q94/O94)</f>
        <v>0</v>
      </c>
      <c r="Q94" s="39">
        <v>0</v>
      </c>
      <c r="R94" s="20">
        <f t="shared" ref="R94:R96" si="27">J94-O94</f>
        <v>0</v>
      </c>
      <c r="S94" s="39">
        <f t="shared" ref="S94:S96" si="28">L94-Q94</f>
        <v>0</v>
      </c>
      <c r="T94" s="6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34" t="s">
        <v>225</v>
      </c>
      <c r="B95" s="7" t="s">
        <v>70</v>
      </c>
      <c r="C95" s="26" t="s">
        <v>73</v>
      </c>
      <c r="D95" s="19">
        <v>0</v>
      </c>
      <c r="E95" s="19">
        <f t="shared" si="22"/>
        <v>0</v>
      </c>
      <c r="F95" s="19">
        <v>0</v>
      </c>
      <c r="G95" s="20"/>
      <c r="H95" s="19"/>
      <c r="I95" s="19"/>
      <c r="J95" s="20">
        <v>22</v>
      </c>
      <c r="K95" s="55">
        <f t="shared" si="23"/>
        <v>1635.4431818181765</v>
      </c>
      <c r="L95" s="39">
        <v>35979.749999999884</v>
      </c>
      <c r="M95" s="20">
        <f t="shared" si="24"/>
        <v>22</v>
      </c>
      <c r="N95" s="21">
        <f t="shared" si="25"/>
        <v>35979.749999999884</v>
      </c>
      <c r="O95" s="20">
        <v>14</v>
      </c>
      <c r="P95" s="55">
        <f t="shared" si="26"/>
        <v>262.2285714285598</v>
      </c>
      <c r="Q95" s="39">
        <v>3671.199999999837</v>
      </c>
      <c r="R95" s="20">
        <f t="shared" si="27"/>
        <v>8</v>
      </c>
      <c r="S95" s="39">
        <f t="shared" si="28"/>
        <v>32308.550000000047</v>
      </c>
      <c r="T95" s="6"/>
      <c r="U95" s="6" t="s">
        <v>504</v>
      </c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34" t="str">
        <f t="shared" ref="A96:A100" si="29">B96&amp;C96</f>
        <v>Véhicules usagésAutres Marques</v>
      </c>
      <c r="B96" s="7" t="s">
        <v>70</v>
      </c>
      <c r="C96" s="26" t="s">
        <v>338</v>
      </c>
      <c r="D96" s="19">
        <v>0</v>
      </c>
      <c r="E96" s="30">
        <f t="shared" si="22"/>
        <v>0</v>
      </c>
      <c r="F96" s="19">
        <v>0</v>
      </c>
      <c r="G96" s="20"/>
      <c r="H96" s="19"/>
      <c r="I96" s="19"/>
      <c r="J96" s="20">
        <v>0</v>
      </c>
      <c r="K96" s="58">
        <f t="shared" si="23"/>
        <v>0</v>
      </c>
      <c r="L96" s="39">
        <v>0</v>
      </c>
      <c r="M96" s="20">
        <f t="shared" si="24"/>
        <v>0</v>
      </c>
      <c r="N96" s="21">
        <f t="shared" si="25"/>
        <v>0</v>
      </c>
      <c r="O96" s="20">
        <v>0</v>
      </c>
      <c r="P96" s="58">
        <f t="shared" si="26"/>
        <v>0</v>
      </c>
      <c r="Q96" s="39">
        <v>0</v>
      </c>
      <c r="R96" s="20">
        <f t="shared" si="27"/>
        <v>0</v>
      </c>
      <c r="S96" s="39">
        <f t="shared" si="28"/>
        <v>0</v>
      </c>
      <c r="T96" s="6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34" t="str">
        <f t="shared" si="29"/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 t="shared" si="22"/>
        <v>0</v>
      </c>
      <c r="F97" s="23">
        <f>+F94+F95+F96</f>
        <v>0</v>
      </c>
      <c r="G97" s="24"/>
      <c r="H97" s="22"/>
      <c r="I97" s="23"/>
      <c r="J97" s="24">
        <f>+J94+J95+J96</f>
        <v>22</v>
      </c>
      <c r="K97" s="74">
        <f>IF(J97&lt;=0,0,L97/J97)</f>
        <v>1635.4431818181765</v>
      </c>
      <c r="L97" s="123">
        <f>+L94+L95+L96</f>
        <v>35979.749999999884</v>
      </c>
      <c r="M97" s="24">
        <f t="shared" si="24"/>
        <v>22</v>
      </c>
      <c r="N97" s="23">
        <f t="shared" si="25"/>
        <v>35979.749999999884</v>
      </c>
      <c r="O97" s="22">
        <f>+O94+O95+O96</f>
        <v>14</v>
      </c>
      <c r="P97" s="74">
        <f>IF(O97&lt;=0,0,Q97/O97)</f>
        <v>262.2285714285598</v>
      </c>
      <c r="Q97" s="123">
        <f>+Q94+Q95+Q96</f>
        <v>3671.199999999837</v>
      </c>
      <c r="R97" s="24">
        <f t="shared" ref="R97:S97" si="30">R94+R95</f>
        <v>8</v>
      </c>
      <c r="S97" s="123">
        <f t="shared" si="30"/>
        <v>32308.550000000047</v>
      </c>
      <c r="T97" s="6">
        <v>22</v>
      </c>
      <c r="U97" s="397">
        <v>35980</v>
      </c>
      <c r="V97" s="398">
        <f>L97-U97</f>
        <v>-0.25000000011641532</v>
      </c>
      <c r="W97" s="7"/>
      <c r="X97" s="7"/>
      <c r="Y97" s="7"/>
      <c r="Z97" s="7"/>
      <c r="AA97" s="7"/>
      <c r="AB97" s="7"/>
      <c r="AC97" s="55"/>
      <c r="AD97" s="55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34" t="str">
        <f t="shared" si="29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8"/>
      <c r="N98" s="309"/>
      <c r="O98" s="52"/>
      <c r="P98" s="74"/>
      <c r="Q98" s="112"/>
      <c r="R98" s="291">
        <f>R97/O97</f>
        <v>0.5714285714285714</v>
      </c>
      <c r="S98" s="28">
        <f>IF(Q97=0,0,(S97/Q97))</f>
        <v>8.8005420570934518</v>
      </c>
      <c r="T98" s="6"/>
      <c r="U98" s="397"/>
      <c r="V98" s="398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34" t="str">
        <f t="shared" si="29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/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/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6"/>
      <c r="U99" s="397"/>
      <c r="V99" s="398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34" t="str">
        <f t="shared" si="29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6"/>
      <c r="U100" s="397"/>
      <c r="V100" s="398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34" t="s">
        <v>339</v>
      </c>
      <c r="B101" s="7" t="s">
        <v>70</v>
      </c>
      <c r="C101" s="52" t="s">
        <v>75</v>
      </c>
      <c r="D101" s="19">
        <v>0</v>
      </c>
      <c r="E101" s="19">
        <f>IF(D101=0,0,F101/D101)</f>
        <v>0</v>
      </c>
      <c r="F101" s="19">
        <v>0</v>
      </c>
      <c r="G101" s="20"/>
      <c r="H101" s="19"/>
      <c r="I101" s="19"/>
      <c r="J101" s="20">
        <v>23</v>
      </c>
      <c r="K101" s="55">
        <f>IF(J101=0,0,L101/J101)</f>
        <v>-126.60695652173752</v>
      </c>
      <c r="L101" s="39">
        <v>-2911.9599999999627</v>
      </c>
      <c r="M101" s="20">
        <f>J101-D101</f>
        <v>23</v>
      </c>
      <c r="N101" s="21">
        <f>L101-F101</f>
        <v>-2911.9599999999627</v>
      </c>
      <c r="O101" s="20">
        <v>65</v>
      </c>
      <c r="P101" s="55">
        <f>IF(O101=0,0,Q101/O101)</f>
        <v>1596.9832307692545</v>
      </c>
      <c r="Q101" s="39">
        <v>103803.91000000155</v>
      </c>
      <c r="R101" s="40">
        <f>J101-O101</f>
        <v>-42</v>
      </c>
      <c r="S101" s="39">
        <f>L101-Q101</f>
        <v>-106715.87000000151</v>
      </c>
      <c r="T101" s="6">
        <v>23</v>
      </c>
      <c r="U101" s="397">
        <v>-2912</v>
      </c>
      <c r="V101" s="398">
        <f>L101-U101</f>
        <v>4.0000000037252903E-2</v>
      </c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34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6"/>
      <c r="U102" s="397"/>
      <c r="V102" s="398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34" t="s">
        <v>340</v>
      </c>
      <c r="B103" s="7" t="s">
        <v>70</v>
      </c>
      <c r="C103" s="26" t="s">
        <v>24</v>
      </c>
      <c r="D103" s="19">
        <v>0</v>
      </c>
      <c r="E103" s="19">
        <f t="shared" ref="E103:E106" si="31">IF(D103=0,0,F103/D103)</f>
        <v>0</v>
      </c>
      <c r="F103" s="21">
        <v>0</v>
      </c>
      <c r="G103" s="20"/>
      <c r="H103" s="19"/>
      <c r="I103" s="19"/>
      <c r="J103" s="20"/>
      <c r="K103" s="55">
        <f>IF(J97=0,0,L103/J97)</f>
        <v>212.73363636363635</v>
      </c>
      <c r="L103" s="39">
        <v>4680.1399999999994</v>
      </c>
      <c r="M103" s="20"/>
      <c r="N103" s="21">
        <f t="shared" ref="N103:N106" si="32">L103-F103</f>
        <v>4680.1399999999994</v>
      </c>
      <c r="O103" s="20"/>
      <c r="P103" s="55">
        <f>IF(O97=0,0,Q103/O97)</f>
        <v>331.59928571428566</v>
      </c>
      <c r="Q103" s="39">
        <v>4642.3899999999994</v>
      </c>
      <c r="R103" s="40">
        <f t="shared" ref="R103:R106" si="33">P103-K103</f>
        <v>118.86564935064931</v>
      </c>
      <c r="S103" s="39">
        <f t="shared" ref="S103:S106" si="34">L103-Q103</f>
        <v>37.75</v>
      </c>
      <c r="T103" s="6"/>
      <c r="U103" s="397"/>
      <c r="V103" s="398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34" t="s">
        <v>341</v>
      </c>
      <c r="B104" s="7" t="s">
        <v>70</v>
      </c>
      <c r="C104" s="26" t="s">
        <v>25</v>
      </c>
      <c r="D104" s="19">
        <v>0</v>
      </c>
      <c r="E104" s="19">
        <f t="shared" si="31"/>
        <v>0</v>
      </c>
      <c r="F104" s="21">
        <v>0</v>
      </c>
      <c r="G104" s="20"/>
      <c r="H104" s="19"/>
      <c r="I104" s="19"/>
      <c r="J104" s="20"/>
      <c r="K104" s="55">
        <f>IF(J97=0,0,L104/J97)</f>
        <v>90.909090909090907</v>
      </c>
      <c r="L104" s="39">
        <v>2000</v>
      </c>
      <c r="M104" s="20"/>
      <c r="N104" s="21">
        <f t="shared" si="32"/>
        <v>2000</v>
      </c>
      <c r="O104" s="20"/>
      <c r="P104" s="55">
        <f>IF(O97=0,0,Q104/O97)</f>
        <v>697.64285714285711</v>
      </c>
      <c r="Q104" s="39">
        <v>9767</v>
      </c>
      <c r="R104" s="40">
        <f t="shared" si="33"/>
        <v>606.73376623376623</v>
      </c>
      <c r="S104" s="39">
        <f t="shared" si="34"/>
        <v>-7767</v>
      </c>
      <c r="T104" s="6"/>
      <c r="U104" s="397"/>
      <c r="V104" s="398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34" t="s">
        <v>342</v>
      </c>
      <c r="B105" s="7" t="s">
        <v>70</v>
      </c>
      <c r="C105" s="26" t="s">
        <v>26</v>
      </c>
      <c r="D105" s="19">
        <v>0</v>
      </c>
      <c r="E105" s="30">
        <f t="shared" si="31"/>
        <v>0</v>
      </c>
      <c r="F105" s="21">
        <v>0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>
        <f t="shared" si="32"/>
        <v>0</v>
      </c>
      <c r="O105" s="20"/>
      <c r="P105" s="58">
        <f>IF(O97=0,0,Q105/O97)</f>
        <v>0</v>
      </c>
      <c r="Q105" s="39">
        <v>0</v>
      </c>
      <c r="R105" s="40">
        <f t="shared" si="33"/>
        <v>0</v>
      </c>
      <c r="S105" s="39">
        <f t="shared" si="34"/>
        <v>0</v>
      </c>
      <c r="T105" s="6"/>
      <c r="U105" s="397"/>
      <c r="V105" s="398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34" t="s">
        <v>343</v>
      </c>
      <c r="B106" s="7" t="s">
        <v>70</v>
      </c>
      <c r="C106" s="289" t="s">
        <v>27</v>
      </c>
      <c r="D106" s="22">
        <f>D97</f>
        <v>0</v>
      </c>
      <c r="E106" s="290">
        <f t="shared" si="31"/>
        <v>0</v>
      </c>
      <c r="F106" s="23">
        <f>F103+F104+F105</f>
        <v>0</v>
      </c>
      <c r="G106" s="24"/>
      <c r="H106" s="22"/>
      <c r="I106" s="23"/>
      <c r="J106" s="24">
        <f>J97</f>
        <v>22</v>
      </c>
      <c r="K106" s="122">
        <f>IF(J106&lt;=0,0,L106/J106)</f>
        <v>303.64272727272726</v>
      </c>
      <c r="L106" s="123">
        <f>L103+L104+L105</f>
        <v>6680.1399999999994</v>
      </c>
      <c r="M106" s="38">
        <f>J106-D106</f>
        <v>22</v>
      </c>
      <c r="N106" s="23">
        <f t="shared" si="32"/>
        <v>6680.1399999999994</v>
      </c>
      <c r="O106" s="24">
        <f>O97</f>
        <v>14</v>
      </c>
      <c r="P106" s="122">
        <f>IF(O106&lt;=0,0,Q106/O106)</f>
        <v>1029.2421428571429</v>
      </c>
      <c r="Q106" s="123">
        <f>Q103+Q104+Q105</f>
        <v>14409.39</v>
      </c>
      <c r="R106" s="124">
        <f t="shared" si="33"/>
        <v>725.59941558441562</v>
      </c>
      <c r="S106" s="123">
        <f t="shared" si="34"/>
        <v>-7729.25</v>
      </c>
      <c r="T106" s="6"/>
      <c r="U106" s="397">
        <v>6680</v>
      </c>
      <c r="V106" s="398">
        <f>L106-U106</f>
        <v>0.13999999999941792</v>
      </c>
      <c r="W106" s="7"/>
      <c r="X106" s="7"/>
      <c r="Y106" s="7"/>
      <c r="Z106" s="7"/>
      <c r="AA106" s="7"/>
      <c r="AB106" s="7"/>
      <c r="AC106" s="7"/>
      <c r="AD106" s="55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34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-0.53640369231452545</v>
      </c>
      <c r="T107" s="6"/>
      <c r="U107" s="397"/>
      <c r="V107" s="398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34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6"/>
      <c r="U108" s="397"/>
      <c r="V108" s="398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34" t="s">
        <v>228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</f>
        <v>0</v>
      </c>
      <c r="G109" s="44"/>
      <c r="H109" s="42"/>
      <c r="I109" s="43"/>
      <c r="J109" s="44">
        <f>J97+J101</f>
        <v>45</v>
      </c>
      <c r="K109" s="41">
        <f>IF(J109&lt;=0,0,L109/J109)</f>
        <v>883.28733333333162</v>
      </c>
      <c r="L109" s="43">
        <f>L97+L106+L101+L99</f>
        <v>39747.92999999992</v>
      </c>
      <c r="M109" s="44">
        <f>J109-D109</f>
        <v>45</v>
      </c>
      <c r="N109" s="43">
        <f>L109-F109</f>
        <v>39747.92999999992</v>
      </c>
      <c r="O109" s="44">
        <f>O97+O101</f>
        <v>79</v>
      </c>
      <c r="P109" s="41">
        <f>IF(O109&lt;=0,0,Q109/O109)</f>
        <v>1542.8417721519163</v>
      </c>
      <c r="Q109" s="43">
        <f>Q97+Q106+Q101+Q99</f>
        <v>121884.50000000138</v>
      </c>
      <c r="R109" s="44">
        <f>J109-O109</f>
        <v>-34</v>
      </c>
      <c r="S109" s="43">
        <f>L109-Q109</f>
        <v>-82136.570000001462</v>
      </c>
      <c r="T109" s="6"/>
      <c r="U109" s="397">
        <f>SUM(U97:U107)</f>
        <v>39748</v>
      </c>
      <c r="V109" s="398">
        <f>L109-U109</f>
        <v>-7.0000000079744495E-2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34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435"/>
      <c r="M110" s="48"/>
      <c r="N110" s="49"/>
      <c r="O110" s="47"/>
      <c r="P110" s="265"/>
      <c r="Q110" s="435"/>
      <c r="R110" s="48">
        <f>O109/R109</f>
        <v>-2.3235294117647061</v>
      </c>
      <c r="S110" s="267">
        <f>IF(Q109=0,0,(S109/Q109))</f>
        <v>-0.67388855843032158</v>
      </c>
      <c r="T110" s="6"/>
      <c r="U110" s="397"/>
      <c r="V110" s="398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34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6"/>
      <c r="U111" s="397"/>
      <c r="V111" s="398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34" t="s">
        <v>230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6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34" t="s">
        <v>231</v>
      </c>
      <c r="B113" s="7" t="s">
        <v>70</v>
      </c>
      <c r="C113" s="26" t="s">
        <v>30</v>
      </c>
      <c r="D113" s="93" t="e">
        <f>F113/F97</f>
        <v>#DIV/0!</v>
      </c>
      <c r="E113" s="55" t="e">
        <f t="shared" ref="E113:E122" si="35">F113/D$97</f>
        <v>#DIV/0!</v>
      </c>
      <c r="F113" s="19">
        <v>0</v>
      </c>
      <c r="G113" s="99"/>
      <c r="H113" s="55"/>
      <c r="I113" s="19"/>
      <c r="J113" s="99">
        <f>L113/L97</f>
        <v>0.24474628089411493</v>
      </c>
      <c r="K113" s="55">
        <f>IF($J$97=0,0,L113/(J$94+J$95+J96))</f>
        <v>400.26863636363652</v>
      </c>
      <c r="L113" s="39">
        <v>8805.9100000000035</v>
      </c>
      <c r="M113" s="26"/>
      <c r="N113" s="39">
        <f t="shared" ref="N113:N154" si="36">L113-F113</f>
        <v>8805.9100000000035</v>
      </c>
      <c r="O113" s="99">
        <f>Q113/Q97</f>
        <v>6.2610835694053781</v>
      </c>
      <c r="P113" s="55">
        <f>IF($J$97=0,0,Q113/(O$94+O$95+O96))</f>
        <v>1641.8350000000003</v>
      </c>
      <c r="Q113" s="39">
        <v>22985.690000000002</v>
      </c>
      <c r="R113" s="26"/>
      <c r="S113" s="39">
        <f t="shared" ref="S113:S154" si="37">L113-Q113</f>
        <v>-14179.779999999999</v>
      </c>
      <c r="T113" s="6"/>
      <c r="U113" s="6" t="s">
        <v>500</v>
      </c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34" t="s">
        <v>232</v>
      </c>
      <c r="B114" s="7" t="s">
        <v>70</v>
      </c>
      <c r="C114" s="14" t="s">
        <v>31</v>
      </c>
      <c r="D114" s="441" t="e">
        <f>F114/(F106)</f>
        <v>#DIV/0!</v>
      </c>
      <c r="E114" s="58" t="e">
        <f t="shared" si="35"/>
        <v>#DIV/0!</v>
      </c>
      <c r="F114" s="31">
        <v>0</v>
      </c>
      <c r="G114" s="104"/>
      <c r="H114" s="58"/>
      <c r="I114" s="31"/>
      <c r="J114" s="104">
        <f>L114/(L106)</f>
        <v>0.3800219755873378</v>
      </c>
      <c r="K114" s="58">
        <f>IF($J$97=0,0,L114/(J$94+J$95+J96))</f>
        <v>115.39090909090902</v>
      </c>
      <c r="L114" s="39">
        <v>2538.5999999999985</v>
      </c>
      <c r="M114" s="14"/>
      <c r="N114" s="61">
        <f t="shared" si="36"/>
        <v>2538.5999999999985</v>
      </c>
      <c r="O114" s="104">
        <f>Q114/(Q106)</f>
        <v>0.28982698087844105</v>
      </c>
      <c r="P114" s="58">
        <f>IF($J$97=0,0,Q114/(O$94+O$95+O96))</f>
        <v>298.30214285714283</v>
      </c>
      <c r="Q114" s="39">
        <v>4176.2299999999996</v>
      </c>
      <c r="R114" s="14"/>
      <c r="S114" s="61">
        <f t="shared" si="37"/>
        <v>-1637.630000000001</v>
      </c>
      <c r="T114" s="6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34" t="s">
        <v>233</v>
      </c>
      <c r="B115" s="7" t="s">
        <v>70</v>
      </c>
      <c r="C115" s="26" t="s">
        <v>32</v>
      </c>
      <c r="D115" s="54"/>
      <c r="E115" s="55" t="e">
        <f t="shared" si="35"/>
        <v>#DIV/0!</v>
      </c>
      <c r="F115" s="19">
        <v>0</v>
      </c>
      <c r="G115" s="56"/>
      <c r="H115" s="55"/>
      <c r="I115" s="19"/>
      <c r="J115" s="26"/>
      <c r="K115" s="55">
        <f>IF($J$97=0,0,L115/(J$94+J$95+J96))</f>
        <v>-38.075454545454541</v>
      </c>
      <c r="L115" s="72">
        <v>-837.65999999999985</v>
      </c>
      <c r="M115" s="26"/>
      <c r="N115" s="39">
        <f t="shared" si="36"/>
        <v>-837.65999999999985</v>
      </c>
      <c r="O115" s="26"/>
      <c r="P115" s="55">
        <f>IF($J$97=0,0,Q115/(O$94+O$95+O96))</f>
        <v>-397.77000000000004</v>
      </c>
      <c r="Q115" s="72">
        <v>-5568.7800000000007</v>
      </c>
      <c r="R115" s="26"/>
      <c r="S115" s="39">
        <f t="shared" si="37"/>
        <v>4731.1200000000008</v>
      </c>
      <c r="T115" s="6"/>
      <c r="U115" s="6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34" t="s">
        <v>234</v>
      </c>
      <c r="B116" s="7" t="s">
        <v>70</v>
      </c>
      <c r="C116" s="26" t="s">
        <v>33</v>
      </c>
      <c r="D116" s="54"/>
      <c r="E116" s="55" t="e">
        <f t="shared" si="35"/>
        <v>#DIV/0!</v>
      </c>
      <c r="F116" s="19">
        <v>0</v>
      </c>
      <c r="G116" s="56"/>
      <c r="H116" s="55"/>
      <c r="I116" s="19"/>
      <c r="J116" s="26"/>
      <c r="K116" s="55">
        <f>IF($J$97=0,0,L116/(J$94+J$95+J96))</f>
        <v>11.772272727272718</v>
      </c>
      <c r="L116" s="39">
        <v>258.98999999999978</v>
      </c>
      <c r="M116" s="26"/>
      <c r="N116" s="39">
        <f t="shared" si="36"/>
        <v>258.98999999999978</v>
      </c>
      <c r="O116" s="26"/>
      <c r="P116" s="55">
        <f>IF($J$97=0,0,Q116/(O$94+O$95+O96))</f>
        <v>9.1950000000000021</v>
      </c>
      <c r="Q116" s="39">
        <v>128.73000000000002</v>
      </c>
      <c r="R116" s="26"/>
      <c r="S116" s="39">
        <f t="shared" si="37"/>
        <v>130.25999999999976</v>
      </c>
      <c r="T116" s="6"/>
      <c r="U116" s="6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34" t="s">
        <v>235</v>
      </c>
      <c r="B117" s="7" t="s">
        <v>70</v>
      </c>
      <c r="C117" s="14" t="s">
        <v>34</v>
      </c>
      <c r="D117" s="57"/>
      <c r="E117" s="58" t="e">
        <f t="shared" si="35"/>
        <v>#DIV/0!</v>
      </c>
      <c r="F117" s="31">
        <v>0</v>
      </c>
      <c r="G117" s="59"/>
      <c r="H117" s="58"/>
      <c r="I117" s="31"/>
      <c r="J117" s="14"/>
      <c r="K117" s="58">
        <f>IF($J$97=0,0,L117/(J$94+J$95+J96))</f>
        <v>38.87863636363636</v>
      </c>
      <c r="L117" s="61">
        <v>855.32999999999993</v>
      </c>
      <c r="M117" s="14"/>
      <c r="N117" s="61">
        <f t="shared" si="36"/>
        <v>855.32999999999993</v>
      </c>
      <c r="O117" s="14"/>
      <c r="P117" s="58">
        <f>IF($J$97=0,0,Q117/(O$94+O$95+O96))</f>
        <v>0</v>
      </c>
      <c r="Q117" s="61">
        <v>0</v>
      </c>
      <c r="R117" s="14"/>
      <c r="S117" s="61">
        <f t="shared" si="37"/>
        <v>855.32999999999993</v>
      </c>
      <c r="T117" s="6"/>
      <c r="U117" s="97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34" t="s">
        <v>236</v>
      </c>
      <c r="B118" s="7" t="s">
        <v>70</v>
      </c>
      <c r="C118" s="26" t="s">
        <v>35</v>
      </c>
      <c r="D118" s="54"/>
      <c r="E118" s="55" t="e">
        <f t="shared" si="35"/>
        <v>#DIV/0!</v>
      </c>
      <c r="F118" s="19">
        <v>0</v>
      </c>
      <c r="G118" s="56"/>
      <c r="H118" s="55"/>
      <c r="I118" s="19"/>
      <c r="J118" s="26"/>
      <c r="K118" s="55">
        <f>IF($J$97=0,0,L118/(J$94+J$95+J96))</f>
        <v>493.69772727272738</v>
      </c>
      <c r="L118" s="39">
        <v>10861.350000000002</v>
      </c>
      <c r="M118" s="26"/>
      <c r="N118" s="39">
        <f t="shared" si="36"/>
        <v>10861.350000000002</v>
      </c>
      <c r="O118" s="26"/>
      <c r="P118" s="55">
        <f>IF($J$97=0,0,Q118/(O$94+O$95+O96))</f>
        <v>634.28142857142848</v>
      </c>
      <c r="Q118" s="39">
        <v>8879.9399999999987</v>
      </c>
      <c r="R118" s="26"/>
      <c r="S118" s="39">
        <f t="shared" si="37"/>
        <v>1981.4100000000035</v>
      </c>
      <c r="T118" s="6"/>
      <c r="U118" s="97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34" t="s">
        <v>237</v>
      </c>
      <c r="B119" s="7" t="s">
        <v>70</v>
      </c>
      <c r="C119" s="26" t="s">
        <v>36</v>
      </c>
      <c r="D119" s="54"/>
      <c r="E119" s="55" t="e">
        <f t="shared" si="35"/>
        <v>#DIV/0!</v>
      </c>
      <c r="F119" s="19">
        <v>0</v>
      </c>
      <c r="G119" s="56"/>
      <c r="H119" s="55"/>
      <c r="I119" s="19"/>
      <c r="J119" s="26"/>
      <c r="K119" s="55">
        <f>IF($J$97=0,0,L119/(J$94+J$95+J96))</f>
        <v>110.39227272727294</v>
      </c>
      <c r="L119" s="39">
        <v>2428.6300000000047</v>
      </c>
      <c r="M119" s="26"/>
      <c r="N119" s="39">
        <f t="shared" si="36"/>
        <v>2428.6300000000047</v>
      </c>
      <c r="O119" s="26"/>
      <c r="P119" s="55">
        <f>IF($J$97=0,0,Q119/(O$94+O$95+O96))</f>
        <v>928.15285714285812</v>
      </c>
      <c r="Q119" s="39">
        <v>12994.140000000014</v>
      </c>
      <c r="R119" s="26"/>
      <c r="S119" s="39">
        <f t="shared" si="37"/>
        <v>-10565.510000000009</v>
      </c>
      <c r="T119" s="6">
        <f>6679-4250</f>
        <v>2429</v>
      </c>
      <c r="U119" s="9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34" t="s">
        <v>238</v>
      </c>
      <c r="B120" s="7" t="s">
        <v>70</v>
      </c>
      <c r="C120" s="26" t="s">
        <v>302</v>
      </c>
      <c r="D120" s="54"/>
      <c r="E120" s="55" t="e">
        <f t="shared" si="35"/>
        <v>#DIV/0!</v>
      </c>
      <c r="F120" s="19">
        <v>0</v>
      </c>
      <c r="G120" s="56"/>
      <c r="H120" s="55"/>
      <c r="I120" s="19"/>
      <c r="J120" s="26"/>
      <c r="K120" s="55">
        <f t="shared" ref="K120:K122" si="38">IF($J$97=0,0,L120/(J$94+J$95))</f>
        <v>0</v>
      </c>
      <c r="L120" s="39">
        <v>0</v>
      </c>
      <c r="M120" s="26"/>
      <c r="N120" s="39">
        <f t="shared" si="36"/>
        <v>0</v>
      </c>
      <c r="O120" s="26"/>
      <c r="P120" s="55">
        <f t="shared" ref="P120:P122" si="39">IF($J$97=0,0,Q120/(O$94+O$95))</f>
        <v>0</v>
      </c>
      <c r="Q120" s="39">
        <v>0</v>
      </c>
      <c r="R120" s="26"/>
      <c r="S120" s="39">
        <f t="shared" si="37"/>
        <v>0</v>
      </c>
      <c r="T120" s="6"/>
      <c r="U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34" t="s">
        <v>238</v>
      </c>
      <c r="B121" s="7" t="s">
        <v>70</v>
      </c>
      <c r="C121" s="26" t="s">
        <v>303</v>
      </c>
      <c r="D121" s="54"/>
      <c r="E121" s="55" t="e">
        <f t="shared" si="35"/>
        <v>#DIV/0!</v>
      </c>
      <c r="F121" s="19">
        <v>0</v>
      </c>
      <c r="G121" s="56"/>
      <c r="H121" s="55"/>
      <c r="I121" s="19"/>
      <c r="J121" s="26"/>
      <c r="K121" s="55">
        <f t="shared" si="38"/>
        <v>-52.085909090909396</v>
      </c>
      <c r="L121" s="39">
        <v>-1145.8900000000067</v>
      </c>
      <c r="M121" s="26"/>
      <c r="N121" s="39">
        <f t="shared" si="36"/>
        <v>-1145.8900000000067</v>
      </c>
      <c r="O121" s="26"/>
      <c r="P121" s="55">
        <f t="shared" si="39"/>
        <v>0</v>
      </c>
      <c r="Q121" s="39">
        <v>0</v>
      </c>
      <c r="R121" s="26"/>
      <c r="S121" s="39">
        <f t="shared" si="37"/>
        <v>-1145.8900000000067</v>
      </c>
      <c r="T121" s="6">
        <v>-1146</v>
      </c>
      <c r="U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25" hidden="1" customHeight="1">
      <c r="A122" s="234" t="s">
        <v>238</v>
      </c>
      <c r="B122" s="7" t="s">
        <v>70</v>
      </c>
      <c r="C122" s="26" t="s">
        <v>19</v>
      </c>
      <c r="D122" s="54"/>
      <c r="E122" s="55" t="e">
        <f t="shared" si="35"/>
        <v>#DIV/0!</v>
      </c>
      <c r="F122" s="19">
        <v>0</v>
      </c>
      <c r="G122" s="56"/>
      <c r="H122" s="55"/>
      <c r="I122" s="19"/>
      <c r="J122" s="26"/>
      <c r="K122" s="55">
        <f t="shared" si="38"/>
        <v>0</v>
      </c>
      <c r="L122" s="21">
        <v>0</v>
      </c>
      <c r="M122" s="26"/>
      <c r="N122" s="39">
        <f t="shared" si="36"/>
        <v>0</v>
      </c>
      <c r="O122" s="26"/>
      <c r="P122" s="55">
        <f t="shared" si="39"/>
        <v>0</v>
      </c>
      <c r="Q122" s="21">
        <v>0</v>
      </c>
      <c r="R122" s="26"/>
      <c r="S122" s="39">
        <f t="shared" si="37"/>
        <v>0</v>
      </c>
      <c r="T122" s="6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" customHeight="1">
      <c r="A123" s="234" t="s">
        <v>239</v>
      </c>
      <c r="B123" s="7" t="s">
        <v>70</v>
      </c>
      <c r="C123" s="139" t="s">
        <v>37</v>
      </c>
      <c r="D123" s="62" t="s">
        <v>38</v>
      </c>
      <c r="E123" s="63" t="e">
        <f>F123/F$109</f>
        <v>#DIV/0!</v>
      </c>
      <c r="F123" s="64">
        <f>SUM(F113:F122)</f>
        <v>0</v>
      </c>
      <c r="G123" s="65"/>
      <c r="H123" s="63"/>
      <c r="I123" s="64"/>
      <c r="J123" s="65" t="s">
        <v>38</v>
      </c>
      <c r="K123" s="63">
        <f>L123/L$109</f>
        <v>0.59789931198933</v>
      </c>
      <c r="L123" s="64">
        <f>SUM(L113:L122)</f>
        <v>23765.260000000002</v>
      </c>
      <c r="M123" s="66"/>
      <c r="N123" s="64">
        <f t="shared" si="36"/>
        <v>23765.260000000002</v>
      </c>
      <c r="O123" s="65" t="s">
        <v>38</v>
      </c>
      <c r="P123" s="63">
        <f>Q123/Q$109</f>
        <v>0.35768247808375564</v>
      </c>
      <c r="Q123" s="64">
        <f>SUM(Q113:Q122)</f>
        <v>43595.950000000012</v>
      </c>
      <c r="R123" s="67"/>
      <c r="S123" s="64">
        <f t="shared" si="37"/>
        <v>-19830.69000000001</v>
      </c>
      <c r="T123" s="6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34" t="s">
        <v>240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/>
      <c r="J124" s="26"/>
      <c r="K124" s="7"/>
      <c r="L124" s="39">
        <v>12145.309999999998</v>
      </c>
      <c r="M124" s="26"/>
      <c r="N124" s="39">
        <f t="shared" si="36"/>
        <v>12145.309999999998</v>
      </c>
      <c r="O124" s="26"/>
      <c r="P124" s="7"/>
      <c r="Q124" s="39">
        <v>8566.4900000000052</v>
      </c>
      <c r="R124" s="26"/>
      <c r="S124" s="39">
        <f t="shared" si="37"/>
        <v>3578.8199999999924</v>
      </c>
      <c r="T124" s="6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34" t="s">
        <v>241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/>
      <c r="J125" s="26"/>
      <c r="K125" s="7"/>
      <c r="L125" s="39">
        <v>6530.1699999999983</v>
      </c>
      <c r="M125" s="26"/>
      <c r="N125" s="39">
        <f t="shared" si="36"/>
        <v>6530.1699999999983</v>
      </c>
      <c r="O125" s="26"/>
      <c r="P125" s="7"/>
      <c r="Q125" s="39">
        <v>14083.079999999994</v>
      </c>
      <c r="R125" s="26"/>
      <c r="S125" s="39">
        <f t="shared" si="37"/>
        <v>-7552.9099999999962</v>
      </c>
      <c r="T125" s="6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34" t="s">
        <v>242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/>
      <c r="J126" s="71"/>
      <c r="K126" s="69"/>
      <c r="L126" s="72">
        <v>2431.3599999999988</v>
      </c>
      <c r="M126" s="71"/>
      <c r="N126" s="72">
        <f t="shared" si="36"/>
        <v>2431.3599999999988</v>
      </c>
      <c r="O126" s="71"/>
      <c r="P126" s="69"/>
      <c r="Q126" s="72">
        <v>1534.6799999999985</v>
      </c>
      <c r="R126" s="71"/>
      <c r="S126" s="72">
        <f t="shared" si="37"/>
        <v>896.68000000000029</v>
      </c>
      <c r="T126" s="6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25" hidden="1" customHeight="1">
      <c r="A127" s="234" t="s">
        <v>243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/>
      <c r="J127" s="26"/>
      <c r="K127" s="7"/>
      <c r="L127" s="39">
        <v>0</v>
      </c>
      <c r="M127" s="26"/>
      <c r="N127" s="39">
        <f t="shared" si="36"/>
        <v>0</v>
      </c>
      <c r="O127" s="26"/>
      <c r="P127" s="7"/>
      <c r="Q127" s="39">
        <v>0</v>
      </c>
      <c r="R127" s="26"/>
      <c r="S127" s="39">
        <f t="shared" si="37"/>
        <v>0</v>
      </c>
      <c r="T127" s="6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25" hidden="1" customHeight="1">
      <c r="A128" s="234" t="s">
        <v>238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/>
      <c r="J128" s="26"/>
      <c r="K128" s="7"/>
      <c r="L128" s="39">
        <v>0</v>
      </c>
      <c r="M128" s="26"/>
      <c r="N128" s="39">
        <f t="shared" si="36"/>
        <v>0</v>
      </c>
      <c r="O128" s="26"/>
      <c r="P128" s="7"/>
      <c r="Q128" s="39">
        <v>0</v>
      </c>
      <c r="R128" s="26"/>
      <c r="S128" s="39">
        <f t="shared" si="37"/>
        <v>0</v>
      </c>
      <c r="T128" s="6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25" hidden="1" customHeight="1">
      <c r="A129" s="234" t="s">
        <v>238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/>
      <c r="J129" s="26"/>
      <c r="K129" s="7"/>
      <c r="L129" s="39">
        <v>0</v>
      </c>
      <c r="M129" s="26"/>
      <c r="N129" s="39">
        <f t="shared" si="36"/>
        <v>0</v>
      </c>
      <c r="O129" s="26"/>
      <c r="P129" s="7"/>
      <c r="Q129" s="39">
        <v>0</v>
      </c>
      <c r="R129" s="26"/>
      <c r="S129" s="39">
        <f t="shared" si="37"/>
        <v>0</v>
      </c>
      <c r="T129" s="6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25" hidden="1" customHeight="1">
      <c r="A130" s="234" t="s">
        <v>238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/>
      <c r="J130" s="26"/>
      <c r="K130" s="7"/>
      <c r="L130" s="39">
        <v>0</v>
      </c>
      <c r="M130" s="26"/>
      <c r="N130" s="39">
        <f t="shared" si="36"/>
        <v>0</v>
      </c>
      <c r="O130" s="26"/>
      <c r="P130" s="7"/>
      <c r="Q130" s="39">
        <v>0</v>
      </c>
      <c r="R130" s="26"/>
      <c r="S130" s="39">
        <f t="shared" si="37"/>
        <v>0</v>
      </c>
      <c r="T130" s="6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34" t="s">
        <v>244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/>
      <c r="J131" s="26"/>
      <c r="K131" s="7"/>
      <c r="L131" s="39">
        <v>4655.2400000000016</v>
      </c>
      <c r="M131" s="26"/>
      <c r="N131" s="39">
        <f t="shared" si="36"/>
        <v>4655.2400000000016</v>
      </c>
      <c r="O131" s="26"/>
      <c r="P131" s="7"/>
      <c r="Q131" s="39">
        <v>1439.1000000000004</v>
      </c>
      <c r="R131" s="26"/>
      <c r="S131" s="39">
        <f t="shared" si="37"/>
        <v>3216.1400000000012</v>
      </c>
      <c r="T131" s="6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34" t="s">
        <v>245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/>
      <c r="J132" s="71"/>
      <c r="K132" s="69"/>
      <c r="L132" s="72">
        <v>4370.8899999999994</v>
      </c>
      <c r="M132" s="71"/>
      <c r="N132" s="72">
        <f t="shared" si="36"/>
        <v>4370.8899999999994</v>
      </c>
      <c r="O132" s="71"/>
      <c r="P132" s="69"/>
      <c r="Q132" s="72">
        <v>1792.9300000000003</v>
      </c>
      <c r="R132" s="71"/>
      <c r="S132" s="72">
        <f t="shared" si="37"/>
        <v>2577.9599999999991</v>
      </c>
      <c r="T132" s="6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34" t="s">
        <v>246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/>
      <c r="J133" s="26"/>
      <c r="K133" s="7"/>
      <c r="L133" s="39">
        <v>1961.6800000000003</v>
      </c>
      <c r="M133" s="26"/>
      <c r="N133" s="39">
        <f t="shared" si="36"/>
        <v>1961.6800000000003</v>
      </c>
      <c r="O133" s="26"/>
      <c r="P133" s="7"/>
      <c r="Q133" s="39">
        <v>3430.5800000000017</v>
      </c>
      <c r="R133" s="26"/>
      <c r="S133" s="39">
        <f t="shared" si="37"/>
        <v>-1468.9000000000015</v>
      </c>
      <c r="T133" s="6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34" t="s">
        <v>247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/>
      <c r="J134" s="26"/>
      <c r="K134" s="7"/>
      <c r="L134" s="39">
        <v>2430.42</v>
      </c>
      <c r="M134" s="26"/>
      <c r="N134" s="39">
        <f t="shared" si="36"/>
        <v>2430.42</v>
      </c>
      <c r="O134" s="26"/>
      <c r="P134" s="7"/>
      <c r="Q134" s="39">
        <v>31.949999999999989</v>
      </c>
      <c r="R134" s="26"/>
      <c r="S134" s="39">
        <f t="shared" si="37"/>
        <v>2398.4700000000003</v>
      </c>
      <c r="T134" s="6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25" hidden="1" customHeight="1">
      <c r="A135" s="234" t="s">
        <v>238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/>
      <c r="J135" s="14"/>
      <c r="K135" s="73"/>
      <c r="L135" s="39">
        <v>0</v>
      </c>
      <c r="M135" s="14"/>
      <c r="N135" s="61">
        <f t="shared" si="36"/>
        <v>0</v>
      </c>
      <c r="O135" s="14"/>
      <c r="P135" s="73"/>
      <c r="Q135" s="39">
        <v>0</v>
      </c>
      <c r="R135" s="14"/>
      <c r="S135" s="61">
        <f t="shared" si="37"/>
        <v>0</v>
      </c>
      <c r="T135" s="6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" customHeight="1">
      <c r="A136" s="234" t="s">
        <v>248</v>
      </c>
      <c r="B136" s="7" t="s">
        <v>70</v>
      </c>
      <c r="C136" s="139" t="s">
        <v>48</v>
      </c>
      <c r="D136" s="62" t="s">
        <v>38</v>
      </c>
      <c r="E136" s="63" t="e">
        <f>F136/F$109</f>
        <v>#DIV/0!</v>
      </c>
      <c r="F136" s="64">
        <f>+SUM(F124:F135)</f>
        <v>0</v>
      </c>
      <c r="G136" s="65"/>
      <c r="H136" s="63"/>
      <c r="I136" s="64"/>
      <c r="J136" s="65" t="s">
        <v>38</v>
      </c>
      <c r="K136" s="63">
        <f>L136/L$109</f>
        <v>0.86860045290409005</v>
      </c>
      <c r="L136" s="64">
        <f>SUM(L124:L135)</f>
        <v>34525.07</v>
      </c>
      <c r="M136" s="66"/>
      <c r="N136" s="64">
        <f t="shared" si="36"/>
        <v>34525.07</v>
      </c>
      <c r="O136" s="65" t="s">
        <v>38</v>
      </c>
      <c r="P136" s="63">
        <f>Q136/Q$109</f>
        <v>0.25334484696577209</v>
      </c>
      <c r="Q136" s="64">
        <f>SUM(Q124:Q135)</f>
        <v>30878.81</v>
      </c>
      <c r="R136" s="67"/>
      <c r="S136" s="64">
        <f t="shared" si="37"/>
        <v>3646.2599999999984</v>
      </c>
      <c r="T136" s="6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25" hidden="1" customHeight="1">
      <c r="A137" s="234" t="s">
        <v>249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/>
      <c r="J137" s="26"/>
      <c r="K137" s="7"/>
      <c r="L137" s="39">
        <v>0</v>
      </c>
      <c r="M137" s="26"/>
      <c r="N137" s="39">
        <f t="shared" si="36"/>
        <v>0</v>
      </c>
      <c r="O137" s="26"/>
      <c r="P137" s="7"/>
      <c r="Q137" s="39">
        <v>0</v>
      </c>
      <c r="R137" s="26"/>
      <c r="S137" s="39">
        <f t="shared" si="37"/>
        <v>0</v>
      </c>
      <c r="T137" s="6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25" hidden="1" customHeight="1">
      <c r="A138" s="234" t="s">
        <v>250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/>
      <c r="J138" s="26"/>
      <c r="K138" s="7"/>
      <c r="L138" s="39">
        <v>0</v>
      </c>
      <c r="M138" s="26"/>
      <c r="N138" s="39">
        <f t="shared" si="36"/>
        <v>0</v>
      </c>
      <c r="O138" s="26"/>
      <c r="P138" s="7"/>
      <c r="Q138" s="39">
        <v>0</v>
      </c>
      <c r="R138" s="26"/>
      <c r="S138" s="39">
        <f t="shared" si="37"/>
        <v>0</v>
      </c>
      <c r="T138" s="6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34" t="s">
        <v>251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/>
      <c r="J139" s="14"/>
      <c r="K139" s="73"/>
      <c r="L139" s="61">
        <v>1747.1299999999974</v>
      </c>
      <c r="M139" s="14"/>
      <c r="N139" s="61">
        <f t="shared" si="36"/>
        <v>1747.1299999999974</v>
      </c>
      <c r="O139" s="14"/>
      <c r="P139" s="73"/>
      <c r="Q139" s="61">
        <v>3988.6800000000021</v>
      </c>
      <c r="R139" s="14"/>
      <c r="S139" s="61">
        <f t="shared" si="37"/>
        <v>-2241.5500000000047</v>
      </c>
      <c r="T139" s="6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34" t="s">
        <v>252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/>
      <c r="J140" s="26"/>
      <c r="K140" s="7"/>
      <c r="L140" s="39">
        <v>1889.5299999999988</v>
      </c>
      <c r="M140" s="26"/>
      <c r="N140" s="39">
        <f t="shared" si="36"/>
        <v>1889.5299999999988</v>
      </c>
      <c r="O140" s="26"/>
      <c r="P140" s="7"/>
      <c r="Q140" s="39">
        <v>892.35999999999876</v>
      </c>
      <c r="R140" s="26"/>
      <c r="S140" s="39">
        <f t="shared" si="37"/>
        <v>997.17000000000007</v>
      </c>
      <c r="T140" s="6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34" t="s">
        <v>253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/>
      <c r="J141" s="26"/>
      <c r="K141" s="7"/>
      <c r="L141" s="39">
        <v>-506.90999999999985</v>
      </c>
      <c r="M141" s="26"/>
      <c r="N141" s="39">
        <f t="shared" si="36"/>
        <v>-506.90999999999985</v>
      </c>
      <c r="O141" s="26"/>
      <c r="P141" s="7"/>
      <c r="Q141" s="39">
        <v>6479.02</v>
      </c>
      <c r="R141" s="26"/>
      <c r="S141" s="39">
        <f t="shared" si="37"/>
        <v>-6985.93</v>
      </c>
      <c r="T141" s="407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34" t="s">
        <v>254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/>
      <c r="J142" s="14"/>
      <c r="K142" s="73"/>
      <c r="L142" s="61">
        <v>2853.41</v>
      </c>
      <c r="M142" s="14"/>
      <c r="N142" s="61">
        <f t="shared" si="36"/>
        <v>2853.41</v>
      </c>
      <c r="O142" s="14"/>
      <c r="P142" s="73"/>
      <c r="Q142" s="61">
        <v>5700.76</v>
      </c>
      <c r="R142" s="14"/>
      <c r="S142" s="61">
        <f t="shared" si="37"/>
        <v>-2847.3500000000004</v>
      </c>
      <c r="T142" s="6"/>
      <c r="U142" s="9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34" t="s">
        <v>255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/>
      <c r="J143" s="26"/>
      <c r="K143" s="7"/>
      <c r="L143" s="39">
        <v>210.47000000000003</v>
      </c>
      <c r="M143" s="26"/>
      <c r="N143" s="39">
        <f t="shared" si="36"/>
        <v>210.47000000000003</v>
      </c>
      <c r="O143" s="26"/>
      <c r="P143" s="7"/>
      <c r="Q143" s="39">
        <v>104.11999999999989</v>
      </c>
      <c r="R143" s="26"/>
      <c r="S143" s="39">
        <f t="shared" si="37"/>
        <v>106.35000000000014</v>
      </c>
      <c r="T143" s="6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34" t="s">
        <v>256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/>
      <c r="J144" s="26"/>
      <c r="K144" s="7"/>
      <c r="L144" s="39">
        <v>0</v>
      </c>
      <c r="M144" s="26"/>
      <c r="N144" s="39">
        <f t="shared" si="36"/>
        <v>0</v>
      </c>
      <c r="O144" s="26"/>
      <c r="P144" s="7"/>
      <c r="Q144" s="39">
        <v>0</v>
      </c>
      <c r="R144" s="26"/>
      <c r="S144" s="39">
        <f t="shared" si="37"/>
        <v>0</v>
      </c>
      <c r="T144" s="6"/>
      <c r="U144" s="9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34" t="s">
        <v>257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/>
      <c r="J145" s="26"/>
      <c r="K145" s="7"/>
      <c r="L145" s="39">
        <v>162.69999999999982</v>
      </c>
      <c r="M145" s="26"/>
      <c r="N145" s="39">
        <f t="shared" si="36"/>
        <v>162.69999999999982</v>
      </c>
      <c r="O145" s="26"/>
      <c r="P145" s="7"/>
      <c r="Q145" s="39">
        <v>240.25</v>
      </c>
      <c r="R145" s="26"/>
      <c r="S145" s="39">
        <f t="shared" si="37"/>
        <v>-77.550000000000182</v>
      </c>
      <c r="T145" s="6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34" t="s">
        <v>258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/>
      <c r="J146" s="26"/>
      <c r="K146" s="7"/>
      <c r="L146" s="39">
        <v>422.13000000000011</v>
      </c>
      <c r="M146" s="26"/>
      <c r="N146" s="39">
        <f t="shared" si="36"/>
        <v>422.13000000000011</v>
      </c>
      <c r="O146" s="26"/>
      <c r="P146" s="7"/>
      <c r="Q146" s="39">
        <v>105.3100000000004</v>
      </c>
      <c r="R146" s="26"/>
      <c r="S146" s="39">
        <f t="shared" si="37"/>
        <v>316.81999999999971</v>
      </c>
      <c r="T146" s="6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34" t="s">
        <v>259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/>
      <c r="J147" s="26"/>
      <c r="K147" s="7"/>
      <c r="L147" s="39">
        <v>765.27999999999884</v>
      </c>
      <c r="M147" s="26"/>
      <c r="N147" s="39">
        <f t="shared" si="36"/>
        <v>765.27999999999884</v>
      </c>
      <c r="O147" s="26"/>
      <c r="P147" s="7"/>
      <c r="Q147" s="39">
        <v>1586.2599999999993</v>
      </c>
      <c r="R147" s="26"/>
      <c r="S147" s="39">
        <f t="shared" si="37"/>
        <v>-820.98000000000047</v>
      </c>
      <c r="T147" s="6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34" t="s">
        <v>260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/>
      <c r="J148" s="26"/>
      <c r="K148" s="7"/>
      <c r="L148" s="39">
        <v>1872.1899999999996</v>
      </c>
      <c r="M148" s="26"/>
      <c r="N148" s="39">
        <f t="shared" si="36"/>
        <v>1872.1899999999996</v>
      </c>
      <c r="O148" s="26"/>
      <c r="P148" s="7"/>
      <c r="Q148" s="39">
        <v>3098.5</v>
      </c>
      <c r="R148" s="26"/>
      <c r="S148" s="39">
        <f t="shared" si="37"/>
        <v>-1226.3100000000004</v>
      </c>
      <c r="T148" s="6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34" t="s">
        <v>261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/>
      <c r="J149" s="26"/>
      <c r="K149" s="7"/>
      <c r="L149" s="39">
        <v>0</v>
      </c>
      <c r="M149" s="26"/>
      <c r="N149" s="39">
        <f t="shared" si="36"/>
        <v>0</v>
      </c>
      <c r="O149" s="26"/>
      <c r="P149" s="7"/>
      <c r="Q149" s="39">
        <v>0</v>
      </c>
      <c r="R149" s="26"/>
      <c r="S149" s="39">
        <f t="shared" si="37"/>
        <v>0</v>
      </c>
      <c r="T149" s="6"/>
      <c r="U149" s="6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34" t="s">
        <v>262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/>
      <c r="J150" s="26"/>
      <c r="K150" s="7"/>
      <c r="L150" s="39">
        <v>1645.38</v>
      </c>
      <c r="M150" s="26"/>
      <c r="N150" s="39">
        <f t="shared" si="36"/>
        <v>1645.38</v>
      </c>
      <c r="O150" s="26"/>
      <c r="P150" s="7"/>
      <c r="Q150" s="39">
        <v>251.75</v>
      </c>
      <c r="R150" s="26"/>
      <c r="S150" s="39">
        <f t="shared" si="37"/>
        <v>1393.63</v>
      </c>
      <c r="T150" s="97"/>
      <c r="U150" s="6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25" hidden="1" customHeight="1">
      <c r="A151" s="234" t="s">
        <v>238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/>
      <c r="J151" s="26"/>
      <c r="K151" s="7"/>
      <c r="L151" s="39">
        <v>0</v>
      </c>
      <c r="M151" s="26"/>
      <c r="N151" s="39">
        <f t="shared" si="36"/>
        <v>0</v>
      </c>
      <c r="O151" s="26"/>
      <c r="P151" s="7"/>
      <c r="Q151" s="39">
        <v>0</v>
      </c>
      <c r="R151" s="26"/>
      <c r="S151" s="39">
        <f t="shared" si="37"/>
        <v>0</v>
      </c>
      <c r="T151" s="6"/>
      <c r="U151" s="6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25" hidden="1" customHeight="1">
      <c r="A152" s="234" t="s">
        <v>238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/>
      <c r="J152" s="26"/>
      <c r="K152" s="7"/>
      <c r="L152" s="39">
        <v>0</v>
      </c>
      <c r="M152" s="26"/>
      <c r="N152" s="39">
        <f t="shared" si="36"/>
        <v>0</v>
      </c>
      <c r="O152" s="26"/>
      <c r="P152" s="7"/>
      <c r="Q152" s="39">
        <v>0</v>
      </c>
      <c r="R152" s="26"/>
      <c r="S152" s="39">
        <f t="shared" si="37"/>
        <v>0</v>
      </c>
      <c r="T152" s="6"/>
      <c r="U152" s="6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25" hidden="1" customHeight="1">
      <c r="A153" s="234" t="s">
        <v>238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/>
      <c r="J153" s="26"/>
      <c r="K153" s="7"/>
      <c r="L153" s="39">
        <v>0</v>
      </c>
      <c r="M153" s="26"/>
      <c r="N153" s="39">
        <f t="shared" si="36"/>
        <v>0</v>
      </c>
      <c r="O153" s="26"/>
      <c r="P153" s="7"/>
      <c r="Q153" s="39">
        <v>0</v>
      </c>
      <c r="R153" s="26"/>
      <c r="S153" s="39">
        <f t="shared" si="37"/>
        <v>0</v>
      </c>
      <c r="T153" s="97"/>
      <c r="U153" s="6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" customHeight="1">
      <c r="A154" s="234" t="s">
        <v>263</v>
      </c>
      <c r="B154" s="7" t="s">
        <v>70</v>
      </c>
      <c r="C154" s="139" t="s">
        <v>63</v>
      </c>
      <c r="D154" s="62" t="s">
        <v>38</v>
      </c>
      <c r="E154" s="63" t="e">
        <f>F154/F$109</f>
        <v>#DIV/0!</v>
      </c>
      <c r="F154" s="64">
        <f>+SUM(F137:F153)</f>
        <v>0</v>
      </c>
      <c r="G154" s="65"/>
      <c r="H154" s="63"/>
      <c r="I154" s="64"/>
      <c r="J154" s="65" t="s">
        <v>38</v>
      </c>
      <c r="K154" s="63">
        <f>L154/L$109</f>
        <v>0.27828644158324761</v>
      </c>
      <c r="L154" s="64">
        <f>+SUM(L137:L153)</f>
        <v>11061.309999999994</v>
      </c>
      <c r="M154" s="66"/>
      <c r="N154" s="64">
        <f t="shared" si="36"/>
        <v>11061.309999999994</v>
      </c>
      <c r="O154" s="65" t="s">
        <v>38</v>
      </c>
      <c r="P154" s="63">
        <f>Q154/Q$109</f>
        <v>0.18416623934954604</v>
      </c>
      <c r="Q154" s="64">
        <f>+SUM(Q137:Q153)</f>
        <v>22447.01</v>
      </c>
      <c r="R154" s="67"/>
      <c r="S154" s="64">
        <f t="shared" si="37"/>
        <v>-11385.700000000004</v>
      </c>
      <c r="T154" s="6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34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406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" customHeight="1">
      <c r="A156" s="234" t="s">
        <v>264</v>
      </c>
      <c r="B156" s="7" t="s">
        <v>70</v>
      </c>
      <c r="C156" s="139" t="s">
        <v>64</v>
      </c>
      <c r="D156" s="62" t="s">
        <v>38</v>
      </c>
      <c r="E156" s="63" t="e">
        <f>F156/F$109</f>
        <v>#DIV/0!</v>
      </c>
      <c r="F156" s="64">
        <f>F123+F136+F154</f>
        <v>0</v>
      </c>
      <c r="G156" s="65"/>
      <c r="H156" s="63"/>
      <c r="I156" s="64"/>
      <c r="J156" s="65" t="s">
        <v>38</v>
      </c>
      <c r="K156" s="63">
        <f>L156/L$109</f>
        <v>1.7447862064766677</v>
      </c>
      <c r="L156" s="64">
        <f>L123+L136+L154</f>
        <v>69351.64</v>
      </c>
      <c r="M156" s="66"/>
      <c r="N156" s="64">
        <f t="shared" ref="N156:N163" si="40">L156-F156</f>
        <v>69351.64</v>
      </c>
      <c r="O156" s="65" t="s">
        <v>38</v>
      </c>
      <c r="P156" s="63">
        <f>Q156/Q$109</f>
        <v>0.79519356439907374</v>
      </c>
      <c r="Q156" s="64">
        <f>Q123+Q136+Q154</f>
        <v>96921.77</v>
      </c>
      <c r="R156" s="67"/>
      <c r="S156" s="64">
        <f t="shared" ref="S156:S164" si="41">L156-Q156</f>
        <v>-27570.130000000005</v>
      </c>
      <c r="T156" s="6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34" t="s">
        <v>265</v>
      </c>
      <c r="B157" s="7" t="s">
        <v>70</v>
      </c>
      <c r="C157" s="436" t="s">
        <v>266</v>
      </c>
      <c r="D157" s="94"/>
      <c r="E157" s="95"/>
      <c r="F157" s="19">
        <v>0</v>
      </c>
      <c r="G157" s="96"/>
      <c r="H157" s="95"/>
      <c r="I157" s="19"/>
      <c r="J157" s="96"/>
      <c r="K157" s="95"/>
      <c r="L157" s="39">
        <v>0</v>
      </c>
      <c r="M157" s="26"/>
      <c r="N157" s="39">
        <f t="shared" si="40"/>
        <v>0</v>
      </c>
      <c r="O157" s="96"/>
      <c r="P157" s="95"/>
      <c r="Q157" s="39">
        <v>0</v>
      </c>
      <c r="R157" s="26"/>
      <c r="S157" s="39">
        <f t="shared" si="41"/>
        <v>0</v>
      </c>
      <c r="T157" s="406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34" t="s">
        <v>267</v>
      </c>
      <c r="B158" s="7" t="s">
        <v>70</v>
      </c>
      <c r="C158" s="436" t="s">
        <v>268</v>
      </c>
      <c r="D158" s="94"/>
      <c r="E158" s="95"/>
      <c r="F158" s="19">
        <v>0</v>
      </c>
      <c r="G158" s="96"/>
      <c r="H158" s="95"/>
      <c r="I158" s="19"/>
      <c r="J158" s="96"/>
      <c r="K158" s="95"/>
      <c r="L158" s="39">
        <v>0</v>
      </c>
      <c r="M158" s="26"/>
      <c r="N158" s="39">
        <f t="shared" si="40"/>
        <v>0</v>
      </c>
      <c r="O158" s="96"/>
      <c r="P158" s="95"/>
      <c r="Q158" s="39">
        <v>0</v>
      </c>
      <c r="R158" s="26"/>
      <c r="S158" s="39">
        <f t="shared" si="41"/>
        <v>0</v>
      </c>
      <c r="T158" s="406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34" t="s">
        <v>269</v>
      </c>
      <c r="B159" s="7" t="s">
        <v>70</v>
      </c>
      <c r="C159" s="436" t="s">
        <v>77</v>
      </c>
      <c r="D159" s="54"/>
      <c r="E159" s="7"/>
      <c r="F159" s="19">
        <v>0</v>
      </c>
      <c r="G159" s="56"/>
      <c r="H159" s="7"/>
      <c r="I159" s="19"/>
      <c r="J159" s="26"/>
      <c r="K159" s="7"/>
      <c r="L159" s="39">
        <v>0</v>
      </c>
      <c r="M159" s="26"/>
      <c r="N159" s="39">
        <f t="shared" si="40"/>
        <v>0</v>
      </c>
      <c r="O159" s="26"/>
      <c r="P159" s="7"/>
      <c r="Q159" s="39">
        <v>0</v>
      </c>
      <c r="R159" s="26"/>
      <c r="S159" s="39">
        <f t="shared" si="41"/>
        <v>0</v>
      </c>
      <c r="T159" s="406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" customHeight="1">
      <c r="A160" s="234" t="s">
        <v>270</v>
      </c>
      <c r="B160" s="7" t="s">
        <v>70</v>
      </c>
      <c r="C160" s="26" t="s">
        <v>67</v>
      </c>
      <c r="D160" s="442" t="e">
        <f>E160/474</f>
        <v>#DIV/0!</v>
      </c>
      <c r="E160" s="274" t="e">
        <f>F160/D97</f>
        <v>#DIV/0!</v>
      </c>
      <c r="F160" s="19">
        <v>0</v>
      </c>
      <c r="G160" s="56"/>
      <c r="H160" s="7"/>
      <c r="I160" s="19"/>
      <c r="J160" s="439">
        <f>K160/500</f>
        <v>0.5</v>
      </c>
      <c r="K160" s="274">
        <f>L160/J97</f>
        <v>250</v>
      </c>
      <c r="L160" s="39">
        <v>5500</v>
      </c>
      <c r="M160" s="26"/>
      <c r="N160" s="39">
        <f t="shared" si="40"/>
        <v>5500</v>
      </c>
      <c r="O160" s="439">
        <f>P160/500</f>
        <v>0</v>
      </c>
      <c r="P160" s="274">
        <f>Q160/O97</f>
        <v>0</v>
      </c>
      <c r="Q160" s="39">
        <v>0</v>
      </c>
      <c r="R160" s="26"/>
      <c r="S160" s="39">
        <f t="shared" si="41"/>
        <v>5500</v>
      </c>
      <c r="T160" s="406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34" t="s">
        <v>238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/>
      <c r="J161" s="26"/>
      <c r="K161" s="7"/>
      <c r="L161" s="39">
        <v>0</v>
      </c>
      <c r="M161" s="26"/>
      <c r="N161" s="39">
        <f t="shared" si="40"/>
        <v>0</v>
      </c>
      <c r="O161" s="26"/>
      <c r="P161" s="7"/>
      <c r="Q161" s="39">
        <v>0</v>
      </c>
      <c r="R161" s="26"/>
      <c r="S161" s="39">
        <f t="shared" si="41"/>
        <v>0</v>
      </c>
      <c r="T161" s="406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34" t="s">
        <v>238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/>
      <c r="J162" s="26"/>
      <c r="K162" s="7"/>
      <c r="L162" s="39">
        <v>0</v>
      </c>
      <c r="M162" s="26"/>
      <c r="N162" s="39">
        <f t="shared" si="40"/>
        <v>0</v>
      </c>
      <c r="O162" s="26"/>
      <c r="P162" s="7"/>
      <c r="Q162" s="39">
        <v>0</v>
      </c>
      <c r="R162" s="26"/>
      <c r="S162" s="39">
        <f t="shared" si="41"/>
        <v>0</v>
      </c>
      <c r="T162" s="406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34" t="s">
        <v>238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/>
      <c r="J163" s="26"/>
      <c r="K163" s="7"/>
      <c r="L163" s="39">
        <v>0</v>
      </c>
      <c r="M163" s="26"/>
      <c r="N163" s="39">
        <f t="shared" si="40"/>
        <v>0</v>
      </c>
      <c r="O163" s="26"/>
      <c r="P163" s="7"/>
      <c r="Q163" s="39">
        <v>0</v>
      </c>
      <c r="R163" s="26"/>
      <c r="S163" s="39">
        <f t="shared" si="41"/>
        <v>0</v>
      </c>
      <c r="T163" s="406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" customHeight="1">
      <c r="A164" s="234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/>
      <c r="J164" s="65"/>
      <c r="K164" s="63"/>
      <c r="L164" s="64">
        <f>+SUM(L157:L163)</f>
        <v>5500</v>
      </c>
      <c r="M164" s="66"/>
      <c r="N164" s="64">
        <f>SUM(N157:N160)</f>
        <v>5500</v>
      </c>
      <c r="O164" s="65"/>
      <c r="P164" s="63"/>
      <c r="Q164" s="64">
        <f>+SUM(Q157:Q163)</f>
        <v>0</v>
      </c>
      <c r="R164" s="67"/>
      <c r="S164" s="64">
        <f t="shared" si="41"/>
        <v>5500</v>
      </c>
      <c r="T164" s="6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408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" customHeight="1" thickBot="1">
      <c r="A166" s="234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/>
      <c r="J166" s="279"/>
      <c r="K166" s="278"/>
      <c r="L166" s="138">
        <f>L109-L156+L164</f>
        <v>-24103.710000000079</v>
      </c>
      <c r="M166" s="280"/>
      <c r="N166" s="138">
        <f>L166-F166</f>
        <v>-24103.710000000079</v>
      </c>
      <c r="O166" s="279"/>
      <c r="P166" s="278"/>
      <c r="Q166" s="138">
        <f>Q109-Q156+Q164</f>
        <v>24962.730000001378</v>
      </c>
      <c r="R166" s="281"/>
      <c r="S166" s="138">
        <f>L166-Q166</f>
        <v>-49066.440000001458</v>
      </c>
      <c r="T166" s="6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429" t="str">
        <f>C1</f>
        <v>Ste-Marie Auto</v>
      </c>
      <c r="D169" s="430"/>
      <c r="E169" s="431"/>
      <c r="F169" s="430"/>
      <c r="G169" s="430"/>
      <c r="H169" s="429"/>
      <c r="I169" s="430"/>
      <c r="J169" s="429"/>
      <c r="K169" s="432" t="s">
        <v>219</v>
      </c>
      <c r="L169" s="430"/>
      <c r="M169" s="430"/>
      <c r="N169" s="433"/>
      <c r="O169" s="429"/>
      <c r="P169" s="430"/>
      <c r="Q169" s="429"/>
      <c r="R169" s="430"/>
      <c r="S169" s="434" t="str">
        <f>$S$1</f>
        <v>Réalisé, Septembre 2026</v>
      </c>
      <c r="T169" s="381"/>
      <c r="U169" s="381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426" t="s">
        <v>5</v>
      </c>
      <c r="E171" s="427"/>
      <c r="F171" s="425"/>
      <c r="G171" s="424"/>
      <c r="H171" s="427"/>
      <c r="I171" s="425"/>
      <c r="J171" s="424" t="s">
        <v>7</v>
      </c>
      <c r="K171" s="427"/>
      <c r="L171" s="425"/>
      <c r="M171" s="424" t="s">
        <v>210</v>
      </c>
      <c r="N171" s="425"/>
      <c r="O171" s="424" t="s">
        <v>8</v>
      </c>
      <c r="P171" s="427"/>
      <c r="Q171" s="425"/>
      <c r="R171" s="424" t="s">
        <v>211</v>
      </c>
      <c r="S171" s="425"/>
      <c r="T171" s="6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220</v>
      </c>
      <c r="K172" s="9" t="s">
        <v>13</v>
      </c>
      <c r="L172" s="10" t="s">
        <v>12</v>
      </c>
      <c r="M172" s="11" t="s">
        <v>220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220</v>
      </c>
      <c r="S172" s="10" t="s">
        <v>12</v>
      </c>
      <c r="T172" s="6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34" t="s">
        <v>221</v>
      </c>
      <c r="B173" s="7" t="s">
        <v>222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1505174.4299999997</v>
      </c>
      <c r="M173" s="86"/>
      <c r="N173" s="87"/>
      <c r="O173" s="14"/>
      <c r="P173" s="58"/>
      <c r="Q173" s="61">
        <v>3840991.4200000018</v>
      </c>
      <c r="R173" s="86"/>
      <c r="S173" s="87"/>
      <c r="T173" s="6"/>
      <c r="U173" s="397"/>
      <c r="V173" s="398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34"/>
      <c r="B174" s="7" t="s">
        <v>222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6"/>
      <c r="U174" s="397"/>
      <c r="V174" s="398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34" t="s">
        <v>223</v>
      </c>
      <c r="B175" s="7" t="s">
        <v>222</v>
      </c>
      <c r="C175" s="26" t="s">
        <v>224</v>
      </c>
      <c r="D175" s="19">
        <v>0</v>
      </c>
      <c r="E175" s="19">
        <f>IF(D175=0,0,F175/D175)</f>
        <v>0</v>
      </c>
      <c r="F175" s="19">
        <v>0</v>
      </c>
      <c r="G175" s="20"/>
      <c r="H175" s="19"/>
      <c r="I175" s="19"/>
      <c r="J175" s="20">
        <v>12</v>
      </c>
      <c r="K175" s="55">
        <f>IF(J175=0,0,L175/J175)</f>
        <v>-5622.9991666668402</v>
      </c>
      <c r="L175" s="39">
        <v>-67475.990000002086</v>
      </c>
      <c r="M175" s="20">
        <f>J175-D175</f>
        <v>12</v>
      </c>
      <c r="N175" s="21">
        <f>L175-F175</f>
        <v>-67475.990000002086</v>
      </c>
      <c r="O175" s="20">
        <v>10</v>
      </c>
      <c r="P175" s="55">
        <f>IF(O175=0,0,Q175/O175)</f>
        <v>-1561.5249999999883</v>
      </c>
      <c r="Q175" s="39">
        <v>-15615.249999999884</v>
      </c>
      <c r="R175" s="20">
        <f>J175-O175</f>
        <v>2</v>
      </c>
      <c r="S175" s="39">
        <f>L175-Q175</f>
        <v>-51860.740000002203</v>
      </c>
      <c r="T175" s="6">
        <v>12</v>
      </c>
      <c r="U175" s="397">
        <v>-67475.98</v>
      </c>
      <c r="V175" s="398">
        <f>L175-U175</f>
        <v>-1.0000002090237103E-2</v>
      </c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34"/>
      <c r="B176" s="7" t="s">
        <v>222</v>
      </c>
      <c r="C176" s="14"/>
      <c r="D176" s="30"/>
      <c r="E176" s="30"/>
      <c r="F176" s="30"/>
      <c r="G176" s="34"/>
      <c r="H176" s="30"/>
      <c r="I176" s="30"/>
      <c r="J176" s="34"/>
      <c r="K176" s="58"/>
      <c r="L176" s="61"/>
      <c r="M176" s="34"/>
      <c r="N176" s="31"/>
      <c r="O176" s="34"/>
      <c r="P176" s="58"/>
      <c r="Q176" s="61"/>
      <c r="R176" s="443">
        <f>R175/O175</f>
        <v>0.2</v>
      </c>
      <c r="S176" s="102">
        <f>IF(Q175=0,0,(S175/Q175))</f>
        <v>3.3211597636927102</v>
      </c>
      <c r="T176" s="6"/>
      <c r="U176" s="397"/>
      <c r="V176" s="398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34" t="s">
        <v>225</v>
      </c>
      <c r="B177" s="7" t="s">
        <v>222</v>
      </c>
      <c r="C177" s="26" t="s">
        <v>226</v>
      </c>
      <c r="D177" s="19">
        <v>0</v>
      </c>
      <c r="E177" s="19">
        <f>IF(D177=0,0,F177/D177)</f>
        <v>0</v>
      </c>
      <c r="F177" s="19">
        <v>0</v>
      </c>
      <c r="G177" s="20"/>
      <c r="H177" s="19"/>
      <c r="I177" s="19"/>
      <c r="J177" s="20">
        <v>18</v>
      </c>
      <c r="K177" s="55">
        <f>IF(J177=0,0,L177/J177)</f>
        <v>1090.676111111107</v>
      </c>
      <c r="L177" s="39">
        <v>19632.169999999925</v>
      </c>
      <c r="M177" s="20">
        <f>J177-D177</f>
        <v>18</v>
      </c>
      <c r="N177" s="21">
        <f>L177-F177</f>
        <v>19632.169999999925</v>
      </c>
      <c r="O177" s="20">
        <v>0</v>
      </c>
      <c r="P177" s="55">
        <f>IF(O177=0,0,Q177/O177)</f>
        <v>0</v>
      </c>
      <c r="Q177" s="39">
        <v>0</v>
      </c>
      <c r="R177" s="20">
        <f>J177-O177</f>
        <v>18</v>
      </c>
      <c r="S177" s="39">
        <f>L177-Q177</f>
        <v>19632.169999999925</v>
      </c>
      <c r="T177" s="6">
        <v>18</v>
      </c>
      <c r="U177" s="397">
        <v>19632</v>
      </c>
      <c r="V177" s="398">
        <f>L177-U177</f>
        <v>0.16999999992549419</v>
      </c>
      <c r="W177" s="7"/>
      <c r="X177" s="7"/>
      <c r="Y177" s="7"/>
      <c r="Z177" s="7"/>
      <c r="AA177" s="7"/>
      <c r="AB177" s="7"/>
      <c r="AC177" s="7"/>
      <c r="AD177" s="403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34"/>
      <c r="B178" s="7" t="s">
        <v>222</v>
      </c>
      <c r="C178" s="14"/>
      <c r="D178" s="30"/>
      <c r="E178" s="30"/>
      <c r="F178" s="30"/>
      <c r="G178" s="34"/>
      <c r="H178" s="30"/>
      <c r="I178" s="30"/>
      <c r="J178" s="34"/>
      <c r="K178" s="58"/>
      <c r="L178" s="61"/>
      <c r="M178" s="34"/>
      <c r="N178" s="31"/>
      <c r="O178" s="34"/>
      <c r="P178" s="58"/>
      <c r="Q178" s="61"/>
      <c r="R178" s="443" t="e">
        <f>R177/O177</f>
        <v>#DIV/0!</v>
      </c>
      <c r="S178" s="102">
        <f>IF(Q177=0,0,(S177/Q177))</f>
        <v>0</v>
      </c>
      <c r="T178" s="6"/>
      <c r="U178" s="397"/>
      <c r="V178" s="39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34" t="str">
        <f>B179&amp;C179</f>
        <v>Wholesale autresWholesale Luxueux</v>
      </c>
      <c r="B179" s="7" t="s">
        <v>222</v>
      </c>
      <c r="C179" s="26" t="s">
        <v>227</v>
      </c>
      <c r="D179" s="19" t="e">
        <v>#N/A</v>
      </c>
      <c r="E179" s="19" t="e">
        <f>IF(D179=0,0,F179/D179)</f>
        <v>#N/A</v>
      </c>
      <c r="F179" s="19" t="e">
        <v>#N/A</v>
      </c>
      <c r="G179" s="20"/>
      <c r="H179" s="19"/>
      <c r="I179" s="19"/>
      <c r="J179" s="20">
        <v>1</v>
      </c>
      <c r="K179" s="55">
        <f>IF(J179=0,0,L179/J179)</f>
        <v>6000</v>
      </c>
      <c r="L179" s="39">
        <v>6000</v>
      </c>
      <c r="M179" s="20" t="e">
        <f>J179-D179</f>
        <v>#N/A</v>
      </c>
      <c r="N179" s="21" t="e">
        <f>L179-F179</f>
        <v>#N/A</v>
      </c>
      <c r="O179" s="20">
        <v>21</v>
      </c>
      <c r="P179" s="55">
        <f>IF(O179=0,0,Q179/O179)</f>
        <v>3421.4285714285716</v>
      </c>
      <c r="Q179" s="39">
        <v>71850</v>
      </c>
      <c r="R179" s="20">
        <f>J179-O179</f>
        <v>-20</v>
      </c>
      <c r="S179" s="39">
        <f>L179-Q179</f>
        <v>-65850</v>
      </c>
      <c r="T179" s="6">
        <v>1</v>
      </c>
      <c r="U179" s="397">
        <v>6000</v>
      </c>
      <c r="V179" s="398">
        <f>L179-U179</f>
        <v>0</v>
      </c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34" t="s">
        <v>70</v>
      </c>
      <c r="B180" s="7" t="s">
        <v>222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>
        <f>R179/O179</f>
        <v>-0.95238095238095233</v>
      </c>
      <c r="S180" s="100">
        <f>IF(Q179=0,0,(S179/Q179))</f>
        <v>-0.91649269311064718</v>
      </c>
      <c r="T180" s="6"/>
      <c r="U180" s="397"/>
      <c r="V180" s="398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34" t="s">
        <v>70</v>
      </c>
      <c r="B181" s="7" t="s">
        <v>222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6"/>
      <c r="U181" s="397"/>
      <c r="V181" s="398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34" t="s">
        <v>228</v>
      </c>
      <c r="B182" s="7" t="s">
        <v>222</v>
      </c>
      <c r="C182" s="264" t="s">
        <v>229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31</v>
      </c>
      <c r="K182" s="41">
        <f>IF(J182&lt;=0,0,L182/J182)</f>
        <v>-1349.8006451613601</v>
      </c>
      <c r="L182" s="43">
        <f>L175+L179+L177</f>
        <v>-41843.820000002161</v>
      </c>
      <c r="M182" s="44" t="e">
        <f>J182-D182</f>
        <v>#N/A</v>
      </c>
      <c r="N182" s="43" t="e">
        <f>L182-F182</f>
        <v>#REF!</v>
      </c>
      <c r="O182" s="44">
        <f>O175+O177+O179</f>
        <v>31</v>
      </c>
      <c r="P182" s="41">
        <f>IF(O182&lt;=0,0,Q182/O182)</f>
        <v>1814.0241935483909</v>
      </c>
      <c r="Q182" s="43">
        <f>Q175+Q179+Q177</f>
        <v>56234.750000000116</v>
      </c>
      <c r="R182" s="44">
        <f>J182-O182</f>
        <v>0</v>
      </c>
      <c r="S182" s="43">
        <f>L182-Q182</f>
        <v>-98078.570000002277</v>
      </c>
      <c r="T182" s="6"/>
      <c r="U182" s="397">
        <f>SUM(U175:U181)</f>
        <v>-41843.979999999996</v>
      </c>
      <c r="V182" s="398">
        <f>L182-U182</f>
        <v>0.15999999783525709</v>
      </c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34" t="s">
        <v>70</v>
      </c>
      <c r="B183" s="7" t="s">
        <v>222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435"/>
      <c r="M183" s="48"/>
      <c r="N183" s="49"/>
      <c r="O183" s="47"/>
      <c r="P183" s="265"/>
      <c r="Q183" s="435"/>
      <c r="R183" s="48" t="e">
        <f>O182/R182</f>
        <v>#DIV/0!</v>
      </c>
      <c r="S183" s="267">
        <f>IF(Q182=0,0,(S182/Q182))</f>
        <v>-1.7440918649056336</v>
      </c>
      <c r="T183" s="6"/>
      <c r="U183" s="397"/>
      <c r="V183" s="398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34" t="s">
        <v>70</v>
      </c>
      <c r="B184" s="7" t="s">
        <v>222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6"/>
      <c r="U184" s="397"/>
      <c r="V184" s="398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34" t="s">
        <v>230</v>
      </c>
      <c r="B185" s="7" t="s">
        <v>222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6"/>
      <c r="U185" s="397"/>
      <c r="V185" s="398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34" t="s">
        <v>231</v>
      </c>
      <c r="B186" s="7" t="s">
        <v>222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v>0</v>
      </c>
      <c r="G186" s="99"/>
      <c r="H186" s="55"/>
      <c r="I186" s="19"/>
      <c r="J186" s="99">
        <f>L186/L182</f>
        <v>-6.7263218319929749E-2</v>
      </c>
      <c r="K186" s="55">
        <f>IF($J$97=0,0,L186/(J$94+J$95+J182))</f>
        <v>53.104716981131858</v>
      </c>
      <c r="L186" s="39">
        <v>2814.5499999999884</v>
      </c>
      <c r="M186" s="26"/>
      <c r="N186" s="39">
        <f t="shared" ref="N186:N227" si="42">L186-F186</f>
        <v>2814.5499999999884</v>
      </c>
      <c r="O186" s="99">
        <f>Q186/Q182</f>
        <v>0</v>
      </c>
      <c r="P186" s="55">
        <f>IF($J$97=0,0,Q186/(O$94+O$95+O182))</f>
        <v>0</v>
      </c>
      <c r="Q186" s="39">
        <v>0</v>
      </c>
      <c r="R186" s="26"/>
      <c r="S186" s="39">
        <f t="shared" ref="S186:S227" si="43">L186-Q186</f>
        <v>2814.5499999999884</v>
      </c>
      <c r="T186" s="6"/>
      <c r="U186" s="6" t="s">
        <v>501</v>
      </c>
      <c r="V186" s="6" t="s">
        <v>501</v>
      </c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34" t="s">
        <v>232</v>
      </c>
      <c r="B187" s="7" t="s">
        <v>222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>
        <f t="shared" si="42"/>
        <v>0</v>
      </c>
      <c r="O187" s="104">
        <f>Q187/(Q182)</f>
        <v>0</v>
      </c>
      <c r="P187" s="58">
        <f>IF($J$97=0,0,Q187/(O$94+O$95+O182))</f>
        <v>0</v>
      </c>
      <c r="Q187" s="39">
        <v>0</v>
      </c>
      <c r="R187" s="14"/>
      <c r="S187" s="61">
        <f t="shared" si="43"/>
        <v>0</v>
      </c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34" t="s">
        <v>233</v>
      </c>
      <c r="B188" s="7" t="s">
        <v>222</v>
      </c>
      <c r="C188" s="26" t="s">
        <v>32</v>
      </c>
      <c r="D188" s="26"/>
      <c r="E188" s="55" t="e">
        <f>IF($J$97=0,0,F188/(D$94+D$95+D182))</f>
        <v>#N/A</v>
      </c>
      <c r="F188" s="19">
        <v>0</v>
      </c>
      <c r="G188" s="56"/>
      <c r="H188" s="55"/>
      <c r="I188" s="19"/>
      <c r="J188" s="26"/>
      <c r="K188" s="55">
        <f>IF($J$97=0,0,L188/(J$94+J$95+J182))</f>
        <v>7.3916981132075517</v>
      </c>
      <c r="L188" s="72">
        <v>391.76000000000022</v>
      </c>
      <c r="M188" s="26"/>
      <c r="N188" s="39">
        <f t="shared" si="42"/>
        <v>391.76000000000022</v>
      </c>
      <c r="O188" s="26"/>
      <c r="P188" s="55">
        <f>IF($J$97=0,0,Q188/(O$94+O$95+O182))</f>
        <v>49.010222222222225</v>
      </c>
      <c r="Q188" s="72">
        <v>2205.46</v>
      </c>
      <c r="R188" s="26"/>
      <c r="S188" s="39">
        <f t="shared" si="43"/>
        <v>-1813.6999999999998</v>
      </c>
      <c r="T188" s="6"/>
      <c r="U188" s="6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34" t="s">
        <v>234</v>
      </c>
      <c r="B189" s="7" t="s">
        <v>222</v>
      </c>
      <c r="C189" s="26" t="s">
        <v>33</v>
      </c>
      <c r="D189" s="26"/>
      <c r="E189" s="55" t="e">
        <f>IF($J$97=0,0,F189/(D$94+D$95+D182))</f>
        <v>#N/A</v>
      </c>
      <c r="F189" s="19">
        <v>0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>
        <f t="shared" si="42"/>
        <v>0</v>
      </c>
      <c r="O189" s="26"/>
      <c r="P189" s="55">
        <f>IF($J$97=0,0,Q189/(O$94+O$95+O182))</f>
        <v>0</v>
      </c>
      <c r="Q189" s="39">
        <v>0</v>
      </c>
      <c r="R189" s="26"/>
      <c r="S189" s="39">
        <f t="shared" si="43"/>
        <v>0</v>
      </c>
      <c r="T189" s="6"/>
      <c r="U189" s="6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34" t="s">
        <v>235</v>
      </c>
      <c r="B190" s="7" t="s">
        <v>222</v>
      </c>
      <c r="C190" s="14" t="s">
        <v>34</v>
      </c>
      <c r="D190" s="14"/>
      <c r="E190" s="58" t="e">
        <f>IF($J$97=0,0,F190/(D$94+D$95+D182))</f>
        <v>#N/A</v>
      </c>
      <c r="F190" s="31">
        <v>0</v>
      </c>
      <c r="G190" s="59"/>
      <c r="H190" s="58"/>
      <c r="I190" s="31"/>
      <c r="J190" s="14"/>
      <c r="K190" s="58">
        <f>IF($J$97=0,0,L190/(J$94+J$95+J182))</f>
        <v>0.330188679245283</v>
      </c>
      <c r="L190" s="61">
        <v>17.5</v>
      </c>
      <c r="M190" s="14"/>
      <c r="N190" s="61">
        <f t="shared" si="42"/>
        <v>17.5</v>
      </c>
      <c r="O190" s="14"/>
      <c r="P190" s="58">
        <f>IF($J$97=0,0,Q190/(O$94+O$95+O182))</f>
        <v>0</v>
      </c>
      <c r="Q190" s="61">
        <v>0</v>
      </c>
      <c r="R190" s="14"/>
      <c r="S190" s="61">
        <f t="shared" si="43"/>
        <v>17.5</v>
      </c>
      <c r="T190" s="97"/>
      <c r="U190" s="6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34" t="s">
        <v>236</v>
      </c>
      <c r="B191" s="7" t="s">
        <v>222</v>
      </c>
      <c r="C191" s="26" t="s">
        <v>35</v>
      </c>
      <c r="D191" s="26"/>
      <c r="E191" s="55" t="e">
        <f>IF($J$97=0,0,F191/(D$94+D$95+D182))</f>
        <v>#N/A</v>
      </c>
      <c r="F191" s="19">
        <v>0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>
        <f t="shared" si="42"/>
        <v>0</v>
      </c>
      <c r="O191" s="26"/>
      <c r="P191" s="55">
        <f>IF($J$97=0,0,Q191/(O$94+O$95+O182))</f>
        <v>0</v>
      </c>
      <c r="Q191" s="39">
        <v>0</v>
      </c>
      <c r="R191" s="26"/>
      <c r="S191" s="39">
        <f t="shared" si="43"/>
        <v>0</v>
      </c>
      <c r="T191" s="97"/>
      <c r="U191" s="6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34" t="s">
        <v>237</v>
      </c>
      <c r="B192" s="7" t="s">
        <v>222</v>
      </c>
      <c r="C192" s="26" t="s">
        <v>36</v>
      </c>
      <c r="D192" s="26"/>
      <c r="E192" s="55" t="e">
        <f>IF($J$97=0,0,F192/(D$94+D$95+D182))</f>
        <v>#N/A</v>
      </c>
      <c r="F192" s="19">
        <v>0</v>
      </c>
      <c r="G192" s="56"/>
      <c r="H192" s="55"/>
      <c r="I192" s="19"/>
      <c r="J192" s="26"/>
      <c r="K192" s="55">
        <f>IF($J$97=0,0,L192/(J$94+J$95+J182))</f>
        <v>103.8105660377357</v>
      </c>
      <c r="L192" s="39">
        <v>5501.9599999999919</v>
      </c>
      <c r="M192" s="26"/>
      <c r="N192" s="39">
        <f t="shared" si="42"/>
        <v>5501.9599999999919</v>
      </c>
      <c r="O192" s="26"/>
      <c r="P192" s="55">
        <f>IF($J$97=0,0,Q192/(O$94+O$95+O182))</f>
        <v>36.94688888888858</v>
      </c>
      <c r="Q192" s="39">
        <v>1662.609999999986</v>
      </c>
      <c r="R192" s="26"/>
      <c r="S192" s="39">
        <f t="shared" si="43"/>
        <v>3839.3500000000058</v>
      </c>
      <c r="T192" s="6">
        <f>5502</f>
        <v>5502</v>
      </c>
      <c r="U192" s="6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25" customHeight="1">
      <c r="A193" s="234" t="s">
        <v>238</v>
      </c>
      <c r="B193" s="7" t="s">
        <v>222</v>
      </c>
      <c r="C193" s="26" t="s">
        <v>302</v>
      </c>
      <c r="D193" s="54"/>
      <c r="E193" s="55" t="e">
        <f t="shared" ref="E193:E195" si="44">F193/D$97</f>
        <v>#DIV/0!</v>
      </c>
      <c r="F193" s="19">
        <v>0</v>
      </c>
      <c r="G193" s="56"/>
      <c r="H193" s="55"/>
      <c r="I193" s="19"/>
      <c r="J193" s="26"/>
      <c r="K193" s="55">
        <f t="shared" ref="K193:K195" si="45">IF($J$97=0,0,L193/(J$94+J$95))</f>
        <v>0</v>
      </c>
      <c r="L193" s="21">
        <v>0</v>
      </c>
      <c r="M193" s="26"/>
      <c r="N193" s="39">
        <f t="shared" si="42"/>
        <v>0</v>
      </c>
      <c r="O193" s="26"/>
      <c r="P193" s="55">
        <f t="shared" ref="P193:P195" si="46">IF($J$97=0,0,Q193/(O$94+O$95))</f>
        <v>0</v>
      </c>
      <c r="Q193" s="21">
        <v>0</v>
      </c>
      <c r="R193" s="26"/>
      <c r="S193" s="39">
        <f t="shared" si="43"/>
        <v>0</v>
      </c>
      <c r="T193" s="6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25" customHeight="1">
      <c r="A194" s="234" t="s">
        <v>238</v>
      </c>
      <c r="B194" s="7" t="s">
        <v>222</v>
      </c>
      <c r="C194" s="26" t="s">
        <v>303</v>
      </c>
      <c r="D194" s="54"/>
      <c r="E194" s="55" t="e">
        <f t="shared" si="44"/>
        <v>#DIV/0!</v>
      </c>
      <c r="F194" s="19">
        <v>0</v>
      </c>
      <c r="G194" s="56"/>
      <c r="H194" s="55"/>
      <c r="I194" s="19"/>
      <c r="J194" s="26"/>
      <c r="K194" s="55">
        <f t="shared" si="45"/>
        <v>-42.129545454545472</v>
      </c>
      <c r="L194" s="39">
        <v>-926.85000000000036</v>
      </c>
      <c r="M194" s="26"/>
      <c r="N194" s="39">
        <f t="shared" si="42"/>
        <v>-926.85000000000036</v>
      </c>
      <c r="O194" s="26"/>
      <c r="P194" s="55">
        <f t="shared" si="46"/>
        <v>0</v>
      </c>
      <c r="Q194" s="21">
        <v>0</v>
      </c>
      <c r="R194" s="26"/>
      <c r="S194" s="39">
        <f t="shared" si="43"/>
        <v>-926.85000000000036</v>
      </c>
      <c r="T194" s="6">
        <v>-927</v>
      </c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25" hidden="1" customHeight="1" thickTop="1">
      <c r="A195" s="234" t="s">
        <v>238</v>
      </c>
      <c r="B195" s="7" t="s">
        <v>222</v>
      </c>
      <c r="C195" s="26" t="s">
        <v>19</v>
      </c>
      <c r="D195" s="54"/>
      <c r="E195" s="55" t="e">
        <f t="shared" si="44"/>
        <v>#DIV/0!</v>
      </c>
      <c r="F195" s="19">
        <v>0</v>
      </c>
      <c r="G195" s="56"/>
      <c r="H195" s="55"/>
      <c r="I195" s="19"/>
      <c r="J195" s="26"/>
      <c r="K195" s="55">
        <f t="shared" si="45"/>
        <v>0</v>
      </c>
      <c r="L195" s="21">
        <v>0</v>
      </c>
      <c r="M195" s="26"/>
      <c r="N195" s="39">
        <f t="shared" si="42"/>
        <v>0</v>
      </c>
      <c r="O195" s="26"/>
      <c r="P195" s="55">
        <f t="shared" si="46"/>
        <v>0</v>
      </c>
      <c r="Q195" s="21">
        <v>0</v>
      </c>
      <c r="R195" s="26"/>
      <c r="S195" s="39">
        <f t="shared" si="43"/>
        <v>0</v>
      </c>
      <c r="T195" s="6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" customHeight="1">
      <c r="A196" s="234" t="s">
        <v>239</v>
      </c>
      <c r="B196" s="7" t="s">
        <v>222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0.19620946298335526</v>
      </c>
      <c r="L196" s="64">
        <f>SUM(L186:L195)</f>
        <v>7798.9199999999801</v>
      </c>
      <c r="M196" s="66"/>
      <c r="N196" s="64">
        <f t="shared" si="42"/>
        <v>7798.9199999999801</v>
      </c>
      <c r="O196" s="65" t="s">
        <v>38</v>
      </c>
      <c r="P196" s="63">
        <f>Q196/Q$109</f>
        <v>3.1735536512025257E-2</v>
      </c>
      <c r="Q196" s="64">
        <f>SUM(Q186:Q195)</f>
        <v>3868.0699999999861</v>
      </c>
      <c r="R196" s="67"/>
      <c r="S196" s="64">
        <f t="shared" si="43"/>
        <v>3930.849999999994</v>
      </c>
      <c r="T196" s="6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34" t="s">
        <v>240</v>
      </c>
      <c r="B197" s="7" t="s">
        <v>222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3670.7999999999884</v>
      </c>
      <c r="M197" s="26"/>
      <c r="N197" s="39">
        <f t="shared" si="42"/>
        <v>3670.7999999999884</v>
      </c>
      <c r="O197" s="26"/>
      <c r="P197" s="7"/>
      <c r="Q197" s="39">
        <v>1000</v>
      </c>
      <c r="R197" s="26"/>
      <c r="S197" s="39">
        <f t="shared" si="43"/>
        <v>2670.7999999999884</v>
      </c>
      <c r="T197" s="6"/>
      <c r="U197" s="6" t="s">
        <v>496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34" t="s">
        <v>241</v>
      </c>
      <c r="B198" s="7" t="s">
        <v>222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5819.4099999999962</v>
      </c>
      <c r="M198" s="26"/>
      <c r="N198" s="39">
        <f t="shared" si="42"/>
        <v>5819.4099999999962</v>
      </c>
      <c r="O198" s="26"/>
      <c r="P198" s="7"/>
      <c r="Q198" s="39">
        <v>13845.399999999994</v>
      </c>
      <c r="R198" s="26"/>
      <c r="S198" s="39">
        <f t="shared" si="43"/>
        <v>-8025.989999999998</v>
      </c>
      <c r="T198" s="6"/>
      <c r="U198" s="6" t="s">
        <v>502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34" t="s">
        <v>242</v>
      </c>
      <c r="B199" s="7" t="s">
        <v>222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0</v>
      </c>
      <c r="M199" s="71"/>
      <c r="N199" s="72">
        <f t="shared" si="42"/>
        <v>0</v>
      </c>
      <c r="O199" s="71"/>
      <c r="P199" s="69"/>
      <c r="Q199" s="72">
        <v>46957.5</v>
      </c>
      <c r="R199" s="71"/>
      <c r="S199" s="72">
        <f t="shared" si="43"/>
        <v>-46957.5</v>
      </c>
      <c r="T199" s="6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25" hidden="1" customHeight="1">
      <c r="A200" s="234" t="s">
        <v>243</v>
      </c>
      <c r="B200" s="7" t="s">
        <v>222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f t="shared" si="42"/>
        <v>0</v>
      </c>
      <c r="O200" s="26"/>
      <c r="P200" s="7"/>
      <c r="Q200" s="39">
        <v>0</v>
      </c>
      <c r="R200" s="26"/>
      <c r="S200" s="39">
        <f t="shared" si="43"/>
        <v>0</v>
      </c>
      <c r="T200" s="6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25" hidden="1" customHeight="1">
      <c r="A201" s="234" t="s">
        <v>238</v>
      </c>
      <c r="B201" s="7" t="s">
        <v>222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f t="shared" si="42"/>
        <v>0</v>
      </c>
      <c r="O201" s="26"/>
      <c r="P201" s="7"/>
      <c r="Q201" s="39">
        <v>0</v>
      </c>
      <c r="R201" s="26"/>
      <c r="S201" s="39">
        <f t="shared" si="43"/>
        <v>0</v>
      </c>
      <c r="T201" s="6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25" hidden="1" customHeight="1">
      <c r="A202" s="234" t="s">
        <v>238</v>
      </c>
      <c r="B202" s="7" t="s">
        <v>222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f t="shared" si="42"/>
        <v>0</v>
      </c>
      <c r="O202" s="26"/>
      <c r="P202" s="7"/>
      <c r="Q202" s="39">
        <v>0</v>
      </c>
      <c r="R202" s="26"/>
      <c r="S202" s="39">
        <f t="shared" si="43"/>
        <v>0</v>
      </c>
      <c r="T202" s="6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25" hidden="1" customHeight="1">
      <c r="A203" s="234" t="s">
        <v>238</v>
      </c>
      <c r="B203" s="7" t="s">
        <v>222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f t="shared" si="42"/>
        <v>0</v>
      </c>
      <c r="O203" s="26"/>
      <c r="P203" s="7"/>
      <c r="Q203" s="39">
        <v>0</v>
      </c>
      <c r="R203" s="26"/>
      <c r="S203" s="39">
        <f t="shared" si="43"/>
        <v>0</v>
      </c>
      <c r="T203" s="6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34" t="s">
        <v>244</v>
      </c>
      <c r="B204" s="7" t="s">
        <v>222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2976.4599999999991</v>
      </c>
      <c r="M204" s="26"/>
      <c r="N204" s="39">
        <f t="shared" si="42"/>
        <v>2976.4599999999991</v>
      </c>
      <c r="O204" s="26"/>
      <c r="P204" s="7"/>
      <c r="Q204" s="39">
        <v>2708.369999999999</v>
      </c>
      <c r="R204" s="26"/>
      <c r="S204" s="39">
        <f t="shared" si="43"/>
        <v>268.09000000000015</v>
      </c>
      <c r="T204" s="6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34" t="s">
        <v>245</v>
      </c>
      <c r="B205" s="7" t="s">
        <v>222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3343.8799999999974</v>
      </c>
      <c r="M205" s="71"/>
      <c r="N205" s="72">
        <f t="shared" si="42"/>
        <v>3343.8799999999974</v>
      </c>
      <c r="O205" s="71"/>
      <c r="P205" s="69"/>
      <c r="Q205" s="72">
        <v>3245.260000000002</v>
      </c>
      <c r="R205" s="71"/>
      <c r="S205" s="72">
        <f t="shared" si="43"/>
        <v>98.619999999995343</v>
      </c>
      <c r="T205" s="6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34" t="s">
        <v>246</v>
      </c>
      <c r="B206" s="7" t="s">
        <v>222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228.64999999999964</v>
      </c>
      <c r="M206" s="26"/>
      <c r="N206" s="39">
        <f t="shared" si="42"/>
        <v>228.64999999999964</v>
      </c>
      <c r="O206" s="26"/>
      <c r="P206" s="7"/>
      <c r="Q206" s="39">
        <v>311.31999999999971</v>
      </c>
      <c r="R206" s="26"/>
      <c r="S206" s="39">
        <f t="shared" si="43"/>
        <v>-82.670000000000073</v>
      </c>
      <c r="T206" s="6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34" t="s">
        <v>247</v>
      </c>
      <c r="B207" s="7" t="s">
        <v>222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328.96000000000004</v>
      </c>
      <c r="M207" s="26"/>
      <c r="N207" s="39">
        <f t="shared" si="42"/>
        <v>328.96000000000004</v>
      </c>
      <c r="O207" s="26"/>
      <c r="P207" s="7"/>
      <c r="Q207" s="39">
        <v>0</v>
      </c>
      <c r="R207" s="26"/>
      <c r="S207" s="39">
        <f t="shared" si="43"/>
        <v>328.96000000000004</v>
      </c>
      <c r="T207" s="6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25" hidden="1" customHeight="1">
      <c r="A208" s="234" t="s">
        <v>238</v>
      </c>
      <c r="B208" s="7" t="s">
        <v>222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42"/>
        <v>0</v>
      </c>
      <c r="O208" s="14"/>
      <c r="P208" s="73"/>
      <c r="Q208" s="39">
        <v>0</v>
      </c>
      <c r="R208" s="14"/>
      <c r="S208" s="61">
        <f t="shared" si="43"/>
        <v>0</v>
      </c>
      <c r="T208" s="6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" customHeight="1">
      <c r="A209" s="234" t="s">
        <v>248</v>
      </c>
      <c r="B209" s="7" t="s">
        <v>222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0.41179905469291139</v>
      </c>
      <c r="L209" s="64">
        <f>SUM(L197:L208)</f>
        <v>16368.159999999982</v>
      </c>
      <c r="M209" s="66"/>
      <c r="N209" s="64">
        <f t="shared" si="42"/>
        <v>16368.159999999982</v>
      </c>
      <c r="O209" s="65" t="s">
        <v>38</v>
      </c>
      <c r="P209" s="63">
        <f>Q209/Q$109</f>
        <v>0.55846190450794997</v>
      </c>
      <c r="Q209" s="64">
        <f>SUM(Q197:Q208)</f>
        <v>68067.850000000006</v>
      </c>
      <c r="R209" s="67"/>
      <c r="S209" s="64">
        <f t="shared" si="43"/>
        <v>-51699.690000000024</v>
      </c>
      <c r="T209" s="6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25" hidden="1" customHeight="1">
      <c r="A210" s="234" t="s">
        <v>249</v>
      </c>
      <c r="B210" s="7" t="s">
        <v>222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42"/>
        <v>0</v>
      </c>
      <c r="O210" s="26"/>
      <c r="P210" s="7"/>
      <c r="Q210" s="39">
        <v>0</v>
      </c>
      <c r="R210" s="26"/>
      <c r="S210" s="39">
        <f t="shared" si="43"/>
        <v>0</v>
      </c>
      <c r="T210" s="6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25" hidden="1" customHeight="1">
      <c r="A211" s="234" t="s">
        <v>250</v>
      </c>
      <c r="B211" s="7" t="s">
        <v>222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42"/>
        <v>0</v>
      </c>
      <c r="O211" s="26"/>
      <c r="P211" s="7"/>
      <c r="Q211" s="39">
        <v>0</v>
      </c>
      <c r="R211" s="26"/>
      <c r="S211" s="39">
        <f t="shared" si="43"/>
        <v>0</v>
      </c>
      <c r="T211" s="6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34" t="s">
        <v>251</v>
      </c>
      <c r="B212" s="7" t="s">
        <v>222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f t="shared" si="42"/>
        <v>0</v>
      </c>
      <c r="O212" s="14"/>
      <c r="P212" s="73"/>
      <c r="Q212" s="61">
        <v>0</v>
      </c>
      <c r="R212" s="14"/>
      <c r="S212" s="61">
        <f t="shared" si="43"/>
        <v>0</v>
      </c>
      <c r="T212" s="6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34" t="s">
        <v>252</v>
      </c>
      <c r="B213" s="7" t="s">
        <v>222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f t="shared" si="42"/>
        <v>0</v>
      </c>
      <c r="O213" s="26"/>
      <c r="P213" s="7"/>
      <c r="Q213" s="39">
        <v>0</v>
      </c>
      <c r="R213" s="26"/>
      <c r="S213" s="39">
        <f t="shared" si="43"/>
        <v>0</v>
      </c>
      <c r="T213" s="6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34" t="s">
        <v>253</v>
      </c>
      <c r="B214" s="7" t="s">
        <v>222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f t="shared" si="42"/>
        <v>0</v>
      </c>
      <c r="O214" s="26"/>
      <c r="P214" s="7"/>
      <c r="Q214" s="39">
        <v>0</v>
      </c>
      <c r="R214" s="26"/>
      <c r="S214" s="39">
        <f t="shared" si="43"/>
        <v>0</v>
      </c>
      <c r="T214" s="407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34" t="s">
        <v>254</v>
      </c>
      <c r="B215" s="7" t="s">
        <v>222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f t="shared" si="42"/>
        <v>0</v>
      </c>
      <c r="O215" s="14"/>
      <c r="P215" s="73"/>
      <c r="Q215" s="61">
        <v>0</v>
      </c>
      <c r="R215" s="14"/>
      <c r="S215" s="61">
        <f t="shared" si="43"/>
        <v>0</v>
      </c>
      <c r="T215" s="6"/>
      <c r="U215" s="9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34" t="s">
        <v>255</v>
      </c>
      <c r="B216" s="7" t="s">
        <v>222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f t="shared" si="42"/>
        <v>0</v>
      </c>
      <c r="O216" s="26"/>
      <c r="P216" s="7"/>
      <c r="Q216" s="39">
        <v>0</v>
      </c>
      <c r="R216" s="26"/>
      <c r="S216" s="39">
        <f t="shared" si="43"/>
        <v>0</v>
      </c>
      <c r="T216" s="6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34" t="s">
        <v>256</v>
      </c>
      <c r="B217" s="7" t="s">
        <v>222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f t="shared" si="42"/>
        <v>0</v>
      </c>
      <c r="O217" s="26"/>
      <c r="P217" s="7"/>
      <c r="Q217" s="39">
        <v>0</v>
      </c>
      <c r="R217" s="26"/>
      <c r="S217" s="39">
        <f t="shared" si="43"/>
        <v>0</v>
      </c>
      <c r="T217" s="6"/>
      <c r="U217" s="9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34" t="s">
        <v>257</v>
      </c>
      <c r="B218" s="7" t="s">
        <v>222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0</v>
      </c>
      <c r="M218" s="26"/>
      <c r="N218" s="39">
        <f t="shared" si="42"/>
        <v>0</v>
      </c>
      <c r="O218" s="26"/>
      <c r="P218" s="7"/>
      <c r="Q218" s="39">
        <v>0</v>
      </c>
      <c r="R218" s="26"/>
      <c r="S218" s="39">
        <f t="shared" si="43"/>
        <v>0</v>
      </c>
      <c r="T218" s="6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34" t="s">
        <v>258</v>
      </c>
      <c r="B219" s="7" t="s">
        <v>222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f t="shared" si="42"/>
        <v>0</v>
      </c>
      <c r="O219" s="26"/>
      <c r="P219" s="7"/>
      <c r="Q219" s="39">
        <v>0</v>
      </c>
      <c r="R219" s="26"/>
      <c r="S219" s="39">
        <f t="shared" si="43"/>
        <v>0</v>
      </c>
      <c r="T219" s="6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34" t="s">
        <v>259</v>
      </c>
      <c r="B220" s="7" t="s">
        <v>222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19</v>
      </c>
      <c r="M220" s="26"/>
      <c r="N220" s="39">
        <f t="shared" si="42"/>
        <v>19</v>
      </c>
      <c r="O220" s="26"/>
      <c r="P220" s="7"/>
      <c r="Q220" s="39">
        <v>672.31999999999971</v>
      </c>
      <c r="R220" s="26"/>
      <c r="S220" s="39">
        <f t="shared" si="43"/>
        <v>-653.31999999999971</v>
      </c>
      <c r="T220" s="6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34" t="s">
        <v>260</v>
      </c>
      <c r="B221" s="7" t="s">
        <v>222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f t="shared" si="42"/>
        <v>0</v>
      </c>
      <c r="O221" s="26"/>
      <c r="P221" s="7"/>
      <c r="Q221" s="39">
        <v>0</v>
      </c>
      <c r="R221" s="26"/>
      <c r="S221" s="39">
        <f t="shared" si="43"/>
        <v>0</v>
      </c>
      <c r="T221" s="6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34" t="s">
        <v>261</v>
      </c>
      <c r="B222" s="7" t="s">
        <v>222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f t="shared" si="42"/>
        <v>0</v>
      </c>
      <c r="O222" s="26"/>
      <c r="P222" s="7"/>
      <c r="Q222" s="39">
        <v>0</v>
      </c>
      <c r="R222" s="26"/>
      <c r="S222" s="39">
        <f t="shared" si="43"/>
        <v>0</v>
      </c>
      <c r="T222" s="6"/>
      <c r="U222" s="6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34" t="s">
        <v>262</v>
      </c>
      <c r="B223" s="7" t="s">
        <v>222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f t="shared" si="42"/>
        <v>0</v>
      </c>
      <c r="O223" s="26"/>
      <c r="P223" s="7"/>
      <c r="Q223" s="39">
        <v>0</v>
      </c>
      <c r="R223" s="26"/>
      <c r="S223" s="39">
        <f t="shared" si="43"/>
        <v>0</v>
      </c>
      <c r="T223" s="97"/>
      <c r="U223" s="6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25" hidden="1" customHeight="1">
      <c r="A224" s="234" t="s">
        <v>238</v>
      </c>
      <c r="B224" s="7" t="s">
        <v>222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42"/>
        <v>0</v>
      </c>
      <c r="O224" s="26"/>
      <c r="P224" s="7"/>
      <c r="Q224" s="39">
        <v>0</v>
      </c>
      <c r="R224" s="26"/>
      <c r="S224" s="39">
        <f t="shared" si="43"/>
        <v>0</v>
      </c>
      <c r="T224" s="6"/>
      <c r="U224" s="6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25" hidden="1" customHeight="1">
      <c r="A225" s="234" t="s">
        <v>238</v>
      </c>
      <c r="B225" s="7" t="s">
        <v>222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42"/>
        <v>0</v>
      </c>
      <c r="O225" s="26"/>
      <c r="P225" s="7"/>
      <c r="Q225" s="39">
        <v>0</v>
      </c>
      <c r="R225" s="26"/>
      <c r="S225" s="39">
        <f t="shared" si="43"/>
        <v>0</v>
      </c>
      <c r="T225" s="6"/>
      <c r="U225" s="6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25" hidden="1" customHeight="1">
      <c r="A226" s="234" t="s">
        <v>238</v>
      </c>
      <c r="B226" s="7" t="s">
        <v>222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42"/>
        <v>0</v>
      </c>
      <c r="O226" s="26"/>
      <c r="P226" s="7"/>
      <c r="Q226" s="39">
        <v>0</v>
      </c>
      <c r="R226" s="26"/>
      <c r="S226" s="39">
        <f t="shared" si="43"/>
        <v>0</v>
      </c>
      <c r="T226" s="97"/>
      <c r="U226" s="6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" customHeight="1">
      <c r="A227" s="234" t="s">
        <v>263</v>
      </c>
      <c r="B227" s="7" t="s">
        <v>222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4.7801231410038306E-4</v>
      </c>
      <c r="L227" s="64">
        <f>+SUM(L210:L226)</f>
        <v>19</v>
      </c>
      <c r="M227" s="66"/>
      <c r="N227" s="64">
        <f t="shared" si="42"/>
        <v>19</v>
      </c>
      <c r="O227" s="65" t="s">
        <v>38</v>
      </c>
      <c r="P227" s="63">
        <f>Q227/Q$109</f>
        <v>5.5160418264832041E-3</v>
      </c>
      <c r="Q227" s="64">
        <f>+SUM(Q210:Q226)</f>
        <v>672.31999999999971</v>
      </c>
      <c r="R227" s="67"/>
      <c r="S227" s="64">
        <f t="shared" si="43"/>
        <v>-653.31999999999971</v>
      </c>
      <c r="T227" s="6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34" t="s">
        <v>70</v>
      </c>
      <c r="B228" s="7" t="s">
        <v>222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406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" customHeight="1">
      <c r="A229" s="234" t="s">
        <v>264</v>
      </c>
      <c r="B229" s="7" t="s">
        <v>222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0.60848652999036701</v>
      </c>
      <c r="L229" s="64">
        <f>L196+L209+L227</f>
        <v>24186.079999999962</v>
      </c>
      <c r="M229" s="66"/>
      <c r="N229" s="64">
        <f t="shared" ref="N229:N236" si="47">L229-F229</f>
        <v>24186.079999999962</v>
      </c>
      <c r="O229" s="65" t="s">
        <v>38</v>
      </c>
      <c r="P229" s="63">
        <f>Q229/Q$109</f>
        <v>0.59571348284645842</v>
      </c>
      <c r="Q229" s="64">
        <f>Q196+Q209+Q227</f>
        <v>72608.239999999991</v>
      </c>
      <c r="R229" s="67"/>
      <c r="S229" s="64">
        <f t="shared" ref="S229:S236" si="48">L229-Q229</f>
        <v>-48422.160000000033</v>
      </c>
      <c r="T229" s="6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34" t="s">
        <v>265</v>
      </c>
      <c r="B230" s="7" t="s">
        <v>222</v>
      </c>
      <c r="C230" s="26" t="s">
        <v>266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47"/>
        <v>0</v>
      </c>
      <c r="O230" s="96"/>
      <c r="P230" s="95"/>
      <c r="Q230" s="39">
        <v>0</v>
      </c>
      <c r="R230" s="26"/>
      <c r="S230" s="39">
        <f t="shared" si="48"/>
        <v>0</v>
      </c>
      <c r="T230" s="406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34" t="s">
        <v>267</v>
      </c>
      <c r="B231" s="7" t="s">
        <v>222</v>
      </c>
      <c r="C231" s="26" t="s">
        <v>268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47"/>
        <v>0</v>
      </c>
      <c r="O231" s="96"/>
      <c r="P231" s="95"/>
      <c r="Q231" s="39">
        <v>0</v>
      </c>
      <c r="R231" s="26"/>
      <c r="S231" s="39">
        <f t="shared" si="48"/>
        <v>0</v>
      </c>
      <c r="T231" s="406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34" t="s">
        <v>269</v>
      </c>
      <c r="B232" s="7" t="s">
        <v>222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47"/>
        <v>0</v>
      </c>
      <c r="O232" s="26"/>
      <c r="P232" s="7"/>
      <c r="Q232" s="39">
        <v>0</v>
      </c>
      <c r="R232" s="26"/>
      <c r="S232" s="39">
        <f t="shared" si="48"/>
        <v>0</v>
      </c>
      <c r="T232" s="406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34" t="s">
        <v>270</v>
      </c>
      <c r="B233" s="7" t="s">
        <v>222</v>
      </c>
      <c r="C233" s="26" t="s">
        <v>67</v>
      </c>
      <c r="D233" s="442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439"/>
      <c r="K233" s="274"/>
      <c r="L233" s="39">
        <v>0</v>
      </c>
      <c r="M233" s="26"/>
      <c r="N233" s="39">
        <f t="shared" si="47"/>
        <v>0</v>
      </c>
      <c r="O233" s="439"/>
      <c r="P233" s="274"/>
      <c r="Q233" s="39">
        <v>0</v>
      </c>
      <c r="R233" s="26"/>
      <c r="S233" s="39">
        <f t="shared" si="48"/>
        <v>0</v>
      </c>
      <c r="T233" s="406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34" t="s">
        <v>238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47"/>
        <v>0</v>
      </c>
      <c r="O234" s="26"/>
      <c r="P234" s="7"/>
      <c r="Q234" s="39">
        <v>0</v>
      </c>
      <c r="R234" s="26"/>
      <c r="S234" s="39">
        <f t="shared" si="48"/>
        <v>0</v>
      </c>
      <c r="T234" s="406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34" t="s">
        <v>238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47"/>
        <v>0</v>
      </c>
      <c r="O235" s="26"/>
      <c r="P235" s="7"/>
      <c r="Q235" s="39">
        <v>0</v>
      </c>
      <c r="R235" s="26"/>
      <c r="S235" s="39">
        <f t="shared" si="48"/>
        <v>0</v>
      </c>
      <c r="T235" s="40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34" t="s">
        <v>238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47"/>
        <v>0</v>
      </c>
      <c r="O236" s="26"/>
      <c r="P236" s="7"/>
      <c r="Q236" s="39">
        <v>0</v>
      </c>
      <c r="R236" s="26"/>
      <c r="S236" s="39">
        <f t="shared" si="48"/>
        <v>0</v>
      </c>
      <c r="T236" s="40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" customHeight="1">
      <c r="A237" s="234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408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" customHeight="1" thickBot="1">
      <c r="A239" s="234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-66029.900000002119</v>
      </c>
      <c r="M239" s="280"/>
      <c r="N239" s="138" t="e">
        <f>L239-F239</f>
        <v>#REF!</v>
      </c>
      <c r="O239" s="279"/>
      <c r="P239" s="278"/>
      <c r="Q239" s="138">
        <f>Q182-Q229+Q237</f>
        <v>-16373.489999999874</v>
      </c>
      <c r="R239" s="281"/>
      <c r="S239" s="138">
        <f>L239-Q239</f>
        <v>-49656.410000002244</v>
      </c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429" t="str">
        <f>C1</f>
        <v>Ste-Marie Auto</v>
      </c>
      <c r="D242" s="430"/>
      <c r="E242" s="431"/>
      <c r="F242" s="430"/>
      <c r="G242" s="430"/>
      <c r="H242" s="429"/>
      <c r="I242" s="430"/>
      <c r="J242" s="429"/>
      <c r="K242" s="432" t="s">
        <v>78</v>
      </c>
      <c r="L242" s="430"/>
      <c r="M242" s="430"/>
      <c r="N242" s="433"/>
      <c r="O242" s="429"/>
      <c r="P242" s="430"/>
      <c r="Q242" s="429"/>
      <c r="R242" s="430"/>
      <c r="S242" s="434" t="str">
        <f>$S$1</f>
        <v>Réalisé, Septembre 2026</v>
      </c>
      <c r="T242" s="405"/>
      <c r="U242" s="381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426" t="s">
        <v>5</v>
      </c>
      <c r="E244" s="427"/>
      <c r="F244" s="425"/>
      <c r="G244" s="424"/>
      <c r="H244" s="427"/>
      <c r="I244" s="425"/>
      <c r="J244" s="424" t="s">
        <v>7</v>
      </c>
      <c r="K244" s="427"/>
      <c r="L244" s="425"/>
      <c r="M244" s="424" t="s">
        <v>210</v>
      </c>
      <c r="N244" s="425"/>
      <c r="O244" s="426" t="s">
        <v>8</v>
      </c>
      <c r="P244" s="427"/>
      <c r="Q244" s="425"/>
      <c r="R244" s="424" t="s">
        <v>211</v>
      </c>
      <c r="S244" s="425"/>
      <c r="T244" s="409"/>
      <c r="U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34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217</v>
      </c>
      <c r="N245" s="84" t="s">
        <v>214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"/>
      <c r="U245" s="6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34" t="s">
        <v>344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/>
      <c r="H246" s="55"/>
      <c r="I246" s="55"/>
      <c r="J246" s="412">
        <v>231</v>
      </c>
      <c r="K246" s="413">
        <v>55764.950000000041</v>
      </c>
      <c r="L246" s="414">
        <v>39604.120000000046</v>
      </c>
      <c r="M246" s="99" t="e">
        <f>(K246-E246)/E246</f>
        <v>#DIV/0!</v>
      </c>
      <c r="N246" s="39">
        <f>L246-F246</f>
        <v>39604.120000000046</v>
      </c>
      <c r="O246" s="20">
        <v>209</v>
      </c>
      <c r="P246" s="55">
        <v>73555.150000000067</v>
      </c>
      <c r="Q246" s="39">
        <v>58839.140000000058</v>
      </c>
      <c r="R246" s="99">
        <f>IF(O246=0,0,J246/O246)</f>
        <v>1.1052631578947369</v>
      </c>
      <c r="S246" s="39">
        <f>L246-Q246</f>
        <v>-19235.020000000011</v>
      </c>
      <c r="T246" s="97"/>
      <c r="U246" s="6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34" t="s">
        <v>345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/>
      <c r="J247" s="40"/>
      <c r="K247" s="7"/>
      <c r="L247" s="100">
        <f>IF(L246=0,0,L246/K246)</f>
        <v>0.7101973551487093</v>
      </c>
      <c r="M247" s="99"/>
      <c r="N247" s="39"/>
      <c r="O247" s="40"/>
      <c r="P247" s="7"/>
      <c r="Q247" s="100">
        <f>IF(Q246=0,0,Q246/P246)</f>
        <v>0.79993229569921354</v>
      </c>
      <c r="R247" s="40"/>
      <c r="S247" s="100">
        <f>IF(Q246=0,0,(S246/Q246))</f>
        <v>-0.32690858499971265</v>
      </c>
      <c r="T247" s="97"/>
      <c r="U247" s="6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34" t="s">
        <v>78</v>
      </c>
      <c r="B248" s="7" t="s">
        <v>78</v>
      </c>
      <c r="C248" s="14"/>
      <c r="D248" s="58"/>
      <c r="E248" s="312">
        <f>IFERROR(E246/D246,0)</f>
        <v>0</v>
      </c>
      <c r="F248" s="102"/>
      <c r="G248" s="103"/>
      <c r="H248" s="312"/>
      <c r="I248" s="102"/>
      <c r="J248" s="103"/>
      <c r="K248" s="312">
        <f>IFERROR(K246/J246,0)</f>
        <v>241.40670995671013</v>
      </c>
      <c r="L248" s="102"/>
      <c r="M248" s="104"/>
      <c r="N248" s="61"/>
      <c r="O248" s="103"/>
      <c r="P248" s="312">
        <f>IFERROR(P246/O246,0)</f>
        <v>351.93851674641178</v>
      </c>
      <c r="Q248" s="102"/>
      <c r="R248" s="103"/>
      <c r="S248" s="61"/>
      <c r="T248" s="97"/>
      <c r="U248" s="6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34" t="s">
        <v>346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/>
      <c r="H249" s="55"/>
      <c r="I249" s="55"/>
      <c r="J249" s="20">
        <v>211</v>
      </c>
      <c r="K249" s="105">
        <v>29474.859999999986</v>
      </c>
      <c r="L249" s="39">
        <v>17192.239999999991</v>
      </c>
      <c r="M249" s="99" t="e">
        <f>(K249-E249)/E249</f>
        <v>#DIV/0!</v>
      </c>
      <c r="N249" s="72">
        <f>L249-F249</f>
        <v>17192.239999999991</v>
      </c>
      <c r="O249" s="20">
        <v>328</v>
      </c>
      <c r="P249" s="105">
        <v>54748.200000000012</v>
      </c>
      <c r="Q249" s="39">
        <v>34977.760000000024</v>
      </c>
      <c r="R249" s="99">
        <f>IF(O249=0,0,J249/O249)</f>
        <v>0.64329268292682928</v>
      </c>
      <c r="S249" s="39">
        <f>L249-Q249</f>
        <v>-17785.520000000033</v>
      </c>
      <c r="T249" s="97"/>
      <c r="U249" s="6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34" t="s">
        <v>345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/>
      <c r="J250" s="26"/>
      <c r="K250" s="7"/>
      <c r="L250" s="100">
        <f>IF(L249=0,0,L249/K249)</f>
        <v>0.58328487395699247</v>
      </c>
      <c r="M250" s="99"/>
      <c r="N250" s="100"/>
      <c r="O250" s="26"/>
      <c r="P250" s="7"/>
      <c r="Q250" s="100">
        <f>IF(Q249=0,0,Q249/P249)</f>
        <v>0.63888420075911201</v>
      </c>
      <c r="R250" s="99"/>
      <c r="S250" s="100">
        <f>IF(Q249=0,0,(S249/Q249))</f>
        <v>-0.50848081752519381</v>
      </c>
      <c r="T250" s="6"/>
      <c r="U250" s="6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34" t="s">
        <v>78</v>
      </c>
      <c r="B251" s="7" t="s">
        <v>78</v>
      </c>
      <c r="C251" s="14"/>
      <c r="D251" s="73"/>
      <c r="E251" s="312">
        <f>IFERROR(E249/D249,0)</f>
        <v>0</v>
      </c>
      <c r="F251" s="102"/>
      <c r="G251" s="103"/>
      <c r="H251" s="312"/>
      <c r="I251" s="102"/>
      <c r="J251" s="103"/>
      <c r="K251" s="312">
        <f>IFERROR(K249/J249,0)</f>
        <v>139.69127962085301</v>
      </c>
      <c r="L251" s="102"/>
      <c r="M251" s="104"/>
      <c r="N251" s="61"/>
      <c r="O251" s="103"/>
      <c r="P251" s="312">
        <f>IFERROR(P249/O249,0)</f>
        <v>166.91524390243907</v>
      </c>
      <c r="Q251" s="102"/>
      <c r="R251" s="104"/>
      <c r="S251" s="102"/>
      <c r="T251" s="6"/>
      <c r="U251" s="6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34" t="s">
        <v>347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/>
      <c r="H252" s="55"/>
      <c r="I252" s="55"/>
      <c r="J252" s="20">
        <v>430</v>
      </c>
      <c r="K252" s="105">
        <v>66618.28</v>
      </c>
      <c r="L252" s="39">
        <v>47126.479999999996</v>
      </c>
      <c r="M252" s="99" t="e">
        <f>(K252-E252)/E252</f>
        <v>#DIV/0!</v>
      </c>
      <c r="N252" s="39">
        <f t="shared" ref="N252:N253" si="49">L252-F252</f>
        <v>47126.479999999996</v>
      </c>
      <c r="O252" s="20">
        <v>517</v>
      </c>
      <c r="P252" s="105">
        <v>68576.219999999972</v>
      </c>
      <c r="Q252" s="39">
        <v>51169.099999999969</v>
      </c>
      <c r="R252" s="99">
        <f>IF(O252=0,0,J252/O252)</f>
        <v>0.83172147001934238</v>
      </c>
      <c r="S252" s="39">
        <f>L252-Q252</f>
        <v>-4042.6199999999735</v>
      </c>
      <c r="T252" s="97"/>
      <c r="U252" s="6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34" t="s">
        <v>345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/>
      <c r="J253" s="40"/>
      <c r="K253" s="91"/>
      <c r="L253" s="100">
        <f>IF(L252=0,0,L252/K252)</f>
        <v>0.70741063864152598</v>
      </c>
      <c r="M253" s="99"/>
      <c r="N253" s="39" t="e">
        <f t="shared" si="49"/>
        <v>#DIV/0!</v>
      </c>
      <c r="O253" s="40"/>
      <c r="P253" s="91"/>
      <c r="Q253" s="100">
        <f>IF(Q252=0,0,Q252/P252)</f>
        <v>0.74616390346391204</v>
      </c>
      <c r="R253" s="40"/>
      <c r="S253" s="100">
        <f>IF(Q252=0,0,(S252/Q252))</f>
        <v>-7.900510268892702E-2</v>
      </c>
      <c r="T253" s="97"/>
      <c r="U253" s="6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34" t="s">
        <v>78</v>
      </c>
      <c r="B254" s="7" t="s">
        <v>78</v>
      </c>
      <c r="C254" s="26"/>
      <c r="D254" s="55"/>
      <c r="E254" s="312">
        <f>IFERROR(E252/D252,0)</f>
        <v>0</v>
      </c>
      <c r="F254" s="102"/>
      <c r="G254" s="103"/>
      <c r="H254" s="312"/>
      <c r="I254" s="102"/>
      <c r="J254" s="103"/>
      <c r="K254" s="312">
        <f>IFERROR(K252/J252,0)</f>
        <v>154.92623255813953</v>
      </c>
      <c r="L254" s="102"/>
      <c r="M254" s="104"/>
      <c r="N254" s="61"/>
      <c r="O254" s="103"/>
      <c r="P254" s="312">
        <f>IFERROR(P252/O252,0)</f>
        <v>132.64259187620885</v>
      </c>
      <c r="Q254" s="102"/>
      <c r="R254" s="103"/>
      <c r="S254" s="39"/>
      <c r="T254" s="97"/>
      <c r="U254" s="38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34" t="s">
        <v>348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>
        <f>IF(E255=0,0,(K255-E255)/E255)</f>
        <v>0</v>
      </c>
      <c r="N255" s="72">
        <f>L255-F255</f>
        <v>0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97"/>
      <c r="U255" s="6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34" t="s">
        <v>345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406"/>
      <c r="U256" s="38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34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2">
        <f>IFERROR(K255/J255,0)</f>
        <v>0</v>
      </c>
      <c r="L257" s="102"/>
      <c r="M257" s="103"/>
      <c r="N257" s="61"/>
      <c r="O257" s="103"/>
      <c r="P257" s="312">
        <f>IFERROR(P255/O255,0)</f>
        <v>0</v>
      </c>
      <c r="Q257" s="102"/>
      <c r="R257" s="14"/>
      <c r="S257" s="61"/>
      <c r="T257" s="406"/>
      <c r="U257" s="6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34" t="s">
        <v>349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/>
      <c r="J258" s="40"/>
      <c r="K258" s="55"/>
      <c r="L258" s="55">
        <v>10650.580000000002</v>
      </c>
      <c r="M258" s="40"/>
      <c r="N258" s="39">
        <f t="shared" ref="N258:N259" si="50">L258-F258</f>
        <v>10650.580000000002</v>
      </c>
      <c r="O258" s="40"/>
      <c r="P258" s="55"/>
      <c r="Q258" s="55">
        <v>1668.8900000000031</v>
      </c>
      <c r="R258" s="313"/>
      <c r="S258" s="39">
        <f t="shared" ref="S258:S259" si="51">L258-Q258</f>
        <v>8981.6899999999987</v>
      </c>
      <c r="T258" s="6"/>
      <c r="U258" s="6" t="s">
        <v>521</v>
      </c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5" customHeight="1" thickTop="1">
      <c r="A259" s="234" t="s">
        <v>350</v>
      </c>
      <c r="B259" s="7" t="s">
        <v>78</v>
      </c>
      <c r="C259" s="314" t="s">
        <v>87</v>
      </c>
      <c r="D259" s="116">
        <f t="shared" ref="D259:F259" si="52">D246+D249+D252+D255+D258</f>
        <v>0</v>
      </c>
      <c r="E259" s="116">
        <f t="shared" si="52"/>
        <v>0</v>
      </c>
      <c r="F259" s="117">
        <f t="shared" si="52"/>
        <v>0</v>
      </c>
      <c r="G259" s="118"/>
      <c r="H259" s="116"/>
      <c r="I259" s="117"/>
      <c r="J259" s="315">
        <f t="shared" ref="J259:L259" si="53">J246+J249+J252+J255+J258</f>
        <v>872</v>
      </c>
      <c r="K259" s="316">
        <f t="shared" si="53"/>
        <v>151858.09000000003</v>
      </c>
      <c r="L259" s="317">
        <f t="shared" si="53"/>
        <v>114573.42000000003</v>
      </c>
      <c r="M259" s="318" t="e">
        <f>(K259-E259)/E259</f>
        <v>#DIV/0!</v>
      </c>
      <c r="N259" s="317">
        <f t="shared" si="50"/>
        <v>114573.42000000003</v>
      </c>
      <c r="O259" s="315">
        <f t="shared" ref="O259:Q259" si="54">O246+O249+O252+O255+O258</f>
        <v>1054</v>
      </c>
      <c r="P259" s="316">
        <f t="shared" si="54"/>
        <v>196879.57000000007</v>
      </c>
      <c r="Q259" s="317">
        <f t="shared" si="54"/>
        <v>146654.89000000007</v>
      </c>
      <c r="R259" s="27">
        <f>IF(O259=0,0,J259/O259)</f>
        <v>0.82732447817836807</v>
      </c>
      <c r="S259" s="117">
        <f t="shared" si="51"/>
        <v>-32081.470000000045</v>
      </c>
      <c r="T259" s="40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34" t="s">
        <v>351</v>
      </c>
      <c r="B260" s="7" t="s">
        <v>78</v>
      </c>
      <c r="C260" s="319" t="s">
        <v>88</v>
      </c>
      <c r="D260" s="119"/>
      <c r="E260" s="320"/>
      <c r="F260" s="120" t="e">
        <f>F259/E259</f>
        <v>#DIV/0!</v>
      </c>
      <c r="G260" s="121"/>
      <c r="H260" s="320"/>
      <c r="I260" s="28"/>
      <c r="J260" s="114"/>
      <c r="K260" s="321">
        <f>IF(J259=0,0,K259/J259)</f>
        <v>174.14918577981655</v>
      </c>
      <c r="L260" s="28">
        <f>IF(L259=0,0,L259/K259)</f>
        <v>0.75447689352605452</v>
      </c>
      <c r="M260" s="114"/>
      <c r="N260" s="107" t="e">
        <f>N259/F259</f>
        <v>#DIV/0!</v>
      </c>
      <c r="O260" s="114"/>
      <c r="P260" s="321">
        <f>IF(O259=0,0,P259/O259)</f>
        <v>186.79276091081601</v>
      </c>
      <c r="Q260" s="28">
        <f>IF(Q259=0,0,Q259/P259)</f>
        <v>0.74489643592781118</v>
      </c>
      <c r="R260" s="121"/>
      <c r="S260" s="28">
        <f>S259/Q259</f>
        <v>-0.21875486047550155</v>
      </c>
      <c r="T260" s="40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34" t="s">
        <v>78</v>
      </c>
      <c r="B261" s="7" t="s">
        <v>78</v>
      </c>
      <c r="C261" s="71"/>
      <c r="D261" s="105"/>
      <c r="E261" s="322"/>
      <c r="F261" s="72"/>
      <c r="G261" s="106"/>
      <c r="H261" s="322"/>
      <c r="I261" s="72"/>
      <c r="J261" s="106"/>
      <c r="K261" s="322"/>
      <c r="L261" s="72"/>
      <c r="M261" s="106"/>
      <c r="N261" s="72"/>
      <c r="O261" s="106"/>
      <c r="P261" s="322"/>
      <c r="Q261" s="72"/>
      <c r="R261" s="106"/>
      <c r="S261" s="72"/>
      <c r="T261" s="40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34" t="s">
        <v>352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/>
      <c r="I262" s="55"/>
      <c r="J262" s="20">
        <v>333</v>
      </c>
      <c r="K262" s="55">
        <v>13883.549999999992</v>
      </c>
      <c r="L262" s="39">
        <v>3700.6799999999839</v>
      </c>
      <c r="M262" s="99">
        <f>IF(E262=0,0,(K262-E262)/E262)</f>
        <v>0</v>
      </c>
      <c r="N262" s="39">
        <f>L262-F262</f>
        <v>3700.6799999999839</v>
      </c>
      <c r="O262" s="20">
        <v>328</v>
      </c>
      <c r="P262" s="55">
        <v>20193.09999999998</v>
      </c>
      <c r="Q262" s="39">
        <v>5749.3299999999617</v>
      </c>
      <c r="R262" s="99">
        <f>IF(O262=0,0,J262/O262)</f>
        <v>1.0152439024390243</v>
      </c>
      <c r="S262" s="39">
        <f>L262-Q262</f>
        <v>-2048.6499999999778</v>
      </c>
      <c r="T262" s="40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34" t="s">
        <v>345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0.26655142236675677</v>
      </c>
      <c r="M263" s="40"/>
      <c r="N263" s="39"/>
      <c r="O263" s="40"/>
      <c r="P263" s="91"/>
      <c r="Q263" s="100">
        <f>IF(Q262=0,0,Q262/P262)</f>
        <v>0.28471755203509946</v>
      </c>
      <c r="R263" s="40"/>
      <c r="S263" s="100">
        <f>IF(Q262=0,0,(S262/Q262))</f>
        <v>-0.35632847653552524</v>
      </c>
      <c r="T263" s="40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34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40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34" t="s">
        <v>353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>
        <f>IF(E265=0,0,(K265-E265)/E265)</f>
        <v>0</v>
      </c>
      <c r="N265" s="39">
        <f>L265-F265</f>
        <v>0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40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34" t="s">
        <v>345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406"/>
      <c r="U266" s="383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34" t="s">
        <v>78</v>
      </c>
      <c r="B267" s="7" t="s">
        <v>78</v>
      </c>
      <c r="C267" s="323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40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34" t="s">
        <v>354</v>
      </c>
      <c r="B268" s="7" t="s">
        <v>78</v>
      </c>
      <c r="C268" s="264" t="s">
        <v>91</v>
      </c>
      <c r="D268" s="41"/>
      <c r="E268" s="42">
        <f t="shared" ref="E268:F268" si="55">E259+E262+E265</f>
        <v>0</v>
      </c>
      <c r="F268" s="43">
        <f t="shared" si="55"/>
        <v>0</v>
      </c>
      <c r="G268" s="44"/>
      <c r="H268" s="42"/>
      <c r="I268" s="43"/>
      <c r="J268" s="44"/>
      <c r="K268" s="41">
        <f t="shared" ref="K268:L268" si="56">K259+K262+K265</f>
        <v>165741.64000000001</v>
      </c>
      <c r="L268" s="43">
        <f t="shared" si="56"/>
        <v>118274.1</v>
      </c>
      <c r="M268" s="44" t="e">
        <f>L269-F269</f>
        <v>#DIV/0!</v>
      </c>
      <c r="N268" s="43">
        <f>L268-F268</f>
        <v>118274.1</v>
      </c>
      <c r="O268" s="44"/>
      <c r="P268" s="41">
        <f t="shared" ref="P268:Q268" si="57">P259+P262+P265</f>
        <v>217072.67000000004</v>
      </c>
      <c r="Q268" s="43">
        <f t="shared" si="57"/>
        <v>152404.22000000003</v>
      </c>
      <c r="R268" s="44"/>
      <c r="S268" s="43">
        <f>L268-Q268</f>
        <v>-34130.120000000024</v>
      </c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34" t="s">
        <v>78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/>
      <c r="J269" s="47"/>
      <c r="K269" s="265"/>
      <c r="L269" s="267">
        <f>L268/K268</f>
        <v>0.71360522316540365</v>
      </c>
      <c r="M269" s="48"/>
      <c r="N269" s="49" t="e">
        <f>N268/F268</f>
        <v>#DIV/0!</v>
      </c>
      <c r="O269" s="47"/>
      <c r="P269" s="265"/>
      <c r="Q269" s="267">
        <f>Q268/P268</f>
        <v>0.70208847571645017</v>
      </c>
      <c r="R269" s="48"/>
      <c r="S269" s="267">
        <f>L268/S268</f>
        <v>-3.4653877572068286</v>
      </c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34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381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34" t="s">
        <v>355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34" t="s">
        <v>356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/>
      <c r="J272" s="26"/>
      <c r="K272" s="7"/>
      <c r="L272" s="39">
        <v>17751.659999999989</v>
      </c>
      <c r="M272" s="26"/>
      <c r="N272" s="39">
        <f t="shared" ref="N272:N303" si="58">L272-F272</f>
        <v>17751.659999999989</v>
      </c>
      <c r="O272" s="26"/>
      <c r="P272" s="7"/>
      <c r="Q272" s="39">
        <v>15276.050000000003</v>
      </c>
      <c r="R272" s="26"/>
      <c r="S272" s="39">
        <f t="shared" ref="S272:S303" si="59">L272-Q272</f>
        <v>2475.609999999986</v>
      </c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34" t="s">
        <v>357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/>
      <c r="J273" s="26"/>
      <c r="K273" s="7"/>
      <c r="L273" s="39">
        <v>7761.1600000000035</v>
      </c>
      <c r="M273" s="26"/>
      <c r="N273" s="39">
        <f t="shared" si="58"/>
        <v>7761.1600000000035</v>
      </c>
      <c r="O273" s="26"/>
      <c r="P273" s="7"/>
      <c r="Q273" s="39">
        <v>27639.72</v>
      </c>
      <c r="R273" s="26"/>
      <c r="S273" s="39">
        <f t="shared" si="59"/>
        <v>-19878.559999999998</v>
      </c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15.75" customHeight="1">
      <c r="A274" s="234" t="s">
        <v>358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/>
      <c r="J274" s="71"/>
      <c r="K274" s="69"/>
      <c r="L274" s="72">
        <v>19247.569999999992</v>
      </c>
      <c r="M274" s="71"/>
      <c r="N274" s="72">
        <f t="shared" si="58"/>
        <v>19247.569999999992</v>
      </c>
      <c r="O274" s="71"/>
      <c r="P274" s="69"/>
      <c r="Q274" s="72">
        <v>19414.080000000016</v>
      </c>
      <c r="R274" s="71"/>
      <c r="S274" s="72">
        <f t="shared" si="59"/>
        <v>-166.51000000002387</v>
      </c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15.75" customHeight="1">
      <c r="A275" s="234" t="s">
        <v>359</v>
      </c>
      <c r="B275" s="7" t="s">
        <v>78</v>
      </c>
      <c r="C275" s="271" t="s">
        <v>43</v>
      </c>
      <c r="D275" s="54"/>
      <c r="E275" s="93" t="e">
        <f>F275/E246</f>
        <v>#DIV/0!</v>
      </c>
      <c r="F275" s="19">
        <v>0</v>
      </c>
      <c r="G275" s="56"/>
      <c r="H275" s="7"/>
      <c r="I275" s="19"/>
      <c r="J275" s="26"/>
      <c r="K275" s="93"/>
      <c r="L275" s="39">
        <v>9827.5999999999985</v>
      </c>
      <c r="M275" s="26"/>
      <c r="N275" s="39">
        <f t="shared" si="58"/>
        <v>9827.5999999999985</v>
      </c>
      <c r="O275" s="26"/>
      <c r="P275" s="93"/>
      <c r="Q275" s="39">
        <v>0</v>
      </c>
      <c r="R275" s="26"/>
      <c r="S275" s="39">
        <f t="shared" si="59"/>
        <v>9827.5999999999985</v>
      </c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25" hidden="1" customHeight="1">
      <c r="A276" s="234" t="s">
        <v>360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/>
      <c r="J276" s="26"/>
      <c r="K276" s="7"/>
      <c r="L276" s="39">
        <v>0</v>
      </c>
      <c r="M276" s="26"/>
      <c r="N276" s="39">
        <f t="shared" si="58"/>
        <v>0</v>
      </c>
      <c r="O276" s="26"/>
      <c r="P276" s="7"/>
      <c r="Q276" s="39">
        <v>0</v>
      </c>
      <c r="R276" s="26"/>
      <c r="S276" s="39">
        <f t="shared" si="59"/>
        <v>0</v>
      </c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25" hidden="1" customHeight="1">
      <c r="A277" s="234" t="s">
        <v>360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/>
      <c r="J277" s="26"/>
      <c r="K277" s="7"/>
      <c r="L277" s="39">
        <v>0</v>
      </c>
      <c r="M277" s="26"/>
      <c r="N277" s="39">
        <f t="shared" si="58"/>
        <v>0</v>
      </c>
      <c r="O277" s="26"/>
      <c r="P277" s="7"/>
      <c r="Q277" s="39">
        <v>0</v>
      </c>
      <c r="R277" s="26"/>
      <c r="S277" s="39">
        <f t="shared" si="59"/>
        <v>0</v>
      </c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25" hidden="1" customHeight="1">
      <c r="A278" s="234" t="s">
        <v>360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/>
      <c r="J278" s="26"/>
      <c r="K278" s="7"/>
      <c r="L278" s="39">
        <v>0</v>
      </c>
      <c r="M278" s="26"/>
      <c r="N278" s="39">
        <f t="shared" si="58"/>
        <v>0</v>
      </c>
      <c r="O278" s="26"/>
      <c r="P278" s="7"/>
      <c r="Q278" s="39">
        <v>0</v>
      </c>
      <c r="R278" s="26"/>
      <c r="S278" s="39">
        <f t="shared" si="59"/>
        <v>0</v>
      </c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15.75" customHeight="1">
      <c r="A279" s="234" t="s">
        <v>361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/>
      <c r="J279" s="26"/>
      <c r="K279" s="7"/>
      <c r="L279" s="39">
        <v>12528.740000000005</v>
      </c>
      <c r="M279" s="26"/>
      <c r="N279" s="39">
        <f t="shared" si="58"/>
        <v>12528.740000000005</v>
      </c>
      <c r="O279" s="26"/>
      <c r="P279" s="7"/>
      <c r="Q279" s="39">
        <v>15591.599999999991</v>
      </c>
      <c r="R279" s="26"/>
      <c r="S279" s="39">
        <f t="shared" si="59"/>
        <v>-3062.859999999986</v>
      </c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34" t="s">
        <v>362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/>
      <c r="J280" s="71"/>
      <c r="K280" s="69"/>
      <c r="L280" s="72">
        <v>14699.760000000009</v>
      </c>
      <c r="M280" s="71"/>
      <c r="N280" s="72">
        <f t="shared" si="58"/>
        <v>14699.760000000009</v>
      </c>
      <c r="O280" s="71"/>
      <c r="P280" s="69"/>
      <c r="Q280" s="72">
        <v>15459.040000000008</v>
      </c>
      <c r="R280" s="71"/>
      <c r="S280" s="72">
        <f t="shared" si="59"/>
        <v>-759.27999999999884</v>
      </c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34" t="s">
        <v>363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/>
      <c r="J281" s="26"/>
      <c r="K281" s="7"/>
      <c r="L281" s="39">
        <v>3961.25</v>
      </c>
      <c r="M281" s="26"/>
      <c r="N281" s="39">
        <f t="shared" si="58"/>
        <v>3961.25</v>
      </c>
      <c r="O281" s="26"/>
      <c r="P281" s="7"/>
      <c r="Q281" s="39">
        <v>9372.8700000000099</v>
      </c>
      <c r="R281" s="26"/>
      <c r="S281" s="39">
        <f t="shared" si="59"/>
        <v>-5411.6200000000099</v>
      </c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34" t="s">
        <v>364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/>
      <c r="J282" s="26"/>
      <c r="K282" s="7"/>
      <c r="L282" s="39">
        <v>4716.0800000000017</v>
      </c>
      <c r="M282" s="26"/>
      <c r="N282" s="39">
        <f t="shared" si="58"/>
        <v>4716.0800000000017</v>
      </c>
      <c r="O282" s="26"/>
      <c r="P282" s="7"/>
      <c r="Q282" s="39">
        <v>819.26999999999862</v>
      </c>
      <c r="R282" s="26"/>
      <c r="S282" s="39">
        <f t="shared" si="59"/>
        <v>3896.8100000000031</v>
      </c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25" hidden="1" customHeight="1">
      <c r="A283" s="234" t="s">
        <v>360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/>
      <c r="J283" s="14"/>
      <c r="K283" s="73"/>
      <c r="L283" s="39">
        <v>0</v>
      </c>
      <c r="M283" s="14"/>
      <c r="N283" s="21">
        <f t="shared" si="58"/>
        <v>0</v>
      </c>
      <c r="O283" s="14"/>
      <c r="P283" s="73"/>
      <c r="Q283" s="39">
        <v>0</v>
      </c>
      <c r="R283" s="14"/>
      <c r="S283" s="61">
        <f t="shared" si="59"/>
        <v>0</v>
      </c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" customHeight="1">
      <c r="A284" s="234" t="s">
        <v>365</v>
      </c>
      <c r="B284" s="7" t="s">
        <v>78</v>
      </c>
      <c r="C284" s="139" t="s">
        <v>48</v>
      </c>
      <c r="D284" s="62" t="s">
        <v>92</v>
      </c>
      <c r="E284" s="63" t="e">
        <f>F284/F$268</f>
        <v>#DIV/0!</v>
      </c>
      <c r="F284" s="64">
        <f>+SUM(F272:F283)</f>
        <v>0</v>
      </c>
      <c r="G284" s="65"/>
      <c r="H284" s="63"/>
      <c r="I284" s="64"/>
      <c r="J284" s="65" t="s">
        <v>92</v>
      </c>
      <c r="K284" s="63">
        <f>L284/L$268</f>
        <v>0.7651194978444138</v>
      </c>
      <c r="L284" s="64">
        <f>+SUM(L272:L283)</f>
        <v>90493.819999999992</v>
      </c>
      <c r="M284" s="66"/>
      <c r="N284" s="64">
        <f t="shared" si="58"/>
        <v>90493.819999999992</v>
      </c>
      <c r="O284" s="65" t="s">
        <v>92</v>
      </c>
      <c r="P284" s="63">
        <f>Q284/Q$268</f>
        <v>0.67959161498283982</v>
      </c>
      <c r="Q284" s="64">
        <f>+SUM(Q272:Q283)</f>
        <v>103572.63000000003</v>
      </c>
      <c r="R284" s="67"/>
      <c r="S284" s="64">
        <f t="shared" si="59"/>
        <v>-13078.810000000041</v>
      </c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34" t="s">
        <v>366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/>
      <c r="J285" s="26"/>
      <c r="K285" s="7"/>
      <c r="L285" s="39">
        <v>2608.3199999999988</v>
      </c>
      <c r="M285" s="26"/>
      <c r="N285" s="39">
        <f t="shared" si="58"/>
        <v>2608.3199999999988</v>
      </c>
      <c r="O285" s="26"/>
      <c r="P285" s="7"/>
      <c r="Q285" s="39">
        <v>2631.1900000000005</v>
      </c>
      <c r="R285" s="26"/>
      <c r="S285" s="39">
        <f t="shared" si="59"/>
        <v>-22.87000000000171</v>
      </c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34" t="s">
        <v>367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/>
      <c r="J286" s="26"/>
      <c r="K286" s="7"/>
      <c r="L286" s="39">
        <v>2947.16</v>
      </c>
      <c r="M286" s="26"/>
      <c r="N286" s="39">
        <f t="shared" si="58"/>
        <v>2947.16</v>
      </c>
      <c r="O286" s="26"/>
      <c r="P286" s="7"/>
      <c r="Q286" s="39">
        <v>5034.1200000000008</v>
      </c>
      <c r="R286" s="26"/>
      <c r="S286" s="39">
        <f t="shared" si="59"/>
        <v>-2086.9600000000009</v>
      </c>
      <c r="T286" s="6"/>
      <c r="U286" s="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34" t="s">
        <v>368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/>
      <c r="J287" s="14"/>
      <c r="K287" s="73"/>
      <c r="L287" s="39">
        <v>4838.75</v>
      </c>
      <c r="M287" s="14"/>
      <c r="N287" s="61">
        <f t="shared" si="58"/>
        <v>4838.75</v>
      </c>
      <c r="O287" s="14"/>
      <c r="P287" s="73"/>
      <c r="Q287" s="39">
        <v>-5174.93</v>
      </c>
      <c r="R287" s="14"/>
      <c r="S287" s="61">
        <f t="shared" si="59"/>
        <v>10013.68</v>
      </c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34" t="s">
        <v>369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/>
      <c r="J288" s="26"/>
      <c r="K288" s="7"/>
      <c r="L288" s="72">
        <v>3527.16</v>
      </c>
      <c r="M288" s="26"/>
      <c r="N288" s="39">
        <f t="shared" si="58"/>
        <v>3527.16</v>
      </c>
      <c r="O288" s="26"/>
      <c r="P288" s="7"/>
      <c r="Q288" s="72">
        <v>3078.8999999999978</v>
      </c>
      <c r="R288" s="26"/>
      <c r="S288" s="39">
        <f t="shared" si="59"/>
        <v>448.26000000000204</v>
      </c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34" t="s">
        <v>370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/>
      <c r="J289" s="26"/>
      <c r="K289" s="7"/>
      <c r="L289" s="39">
        <v>-640.88999999999942</v>
      </c>
      <c r="M289" s="26"/>
      <c r="N289" s="39">
        <f t="shared" si="58"/>
        <v>-640.88999999999942</v>
      </c>
      <c r="O289" s="26"/>
      <c r="P289" s="7"/>
      <c r="Q289" s="39">
        <v>9780.5099999999984</v>
      </c>
      <c r="R289" s="26"/>
      <c r="S289" s="39">
        <f t="shared" si="59"/>
        <v>-10421.399999999998</v>
      </c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34" t="s">
        <v>371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/>
      <c r="J290" s="14"/>
      <c r="K290" s="73"/>
      <c r="L290" s="39">
        <v>10969.869999999995</v>
      </c>
      <c r="M290" s="14"/>
      <c r="N290" s="61">
        <f t="shared" si="58"/>
        <v>10969.869999999995</v>
      </c>
      <c r="O290" s="14"/>
      <c r="P290" s="73"/>
      <c r="Q290" s="39">
        <v>13965.350000000002</v>
      </c>
      <c r="R290" s="14"/>
      <c r="S290" s="61">
        <f t="shared" si="59"/>
        <v>-2995.4800000000068</v>
      </c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34" t="s">
        <v>372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58"/>
        <v>0</v>
      </c>
      <c r="O291" s="26"/>
      <c r="P291" s="7"/>
      <c r="Q291" s="72">
        <v>0</v>
      </c>
      <c r="R291" s="26"/>
      <c r="S291" s="39">
        <f t="shared" si="59"/>
        <v>0</v>
      </c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34" t="s">
        <v>373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/>
      <c r="J292" s="26"/>
      <c r="K292" s="7"/>
      <c r="L292" s="39">
        <v>5384.4700000000012</v>
      </c>
      <c r="M292" s="26"/>
      <c r="N292" s="39">
        <f t="shared" si="58"/>
        <v>5384.4700000000012</v>
      </c>
      <c r="O292" s="26"/>
      <c r="P292" s="7"/>
      <c r="Q292" s="39">
        <v>6001.4699999999975</v>
      </c>
      <c r="R292" s="26"/>
      <c r="S292" s="39">
        <f t="shared" si="59"/>
        <v>-616.99999999999636</v>
      </c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34" t="s">
        <v>374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/>
      <c r="J293" s="26"/>
      <c r="K293" s="7"/>
      <c r="L293" s="39">
        <v>1732.3500000000001</v>
      </c>
      <c r="M293" s="26"/>
      <c r="N293" s="39">
        <f t="shared" si="58"/>
        <v>1732.3500000000001</v>
      </c>
      <c r="O293" s="26"/>
      <c r="P293" s="7"/>
      <c r="Q293" s="39">
        <v>0</v>
      </c>
      <c r="R293" s="26"/>
      <c r="S293" s="39">
        <f t="shared" si="59"/>
        <v>1732.3500000000001</v>
      </c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34" t="s">
        <v>375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/>
      <c r="J294" s="26"/>
      <c r="K294" s="7"/>
      <c r="L294" s="39">
        <v>338.53999999999905</v>
      </c>
      <c r="M294" s="26"/>
      <c r="N294" s="39">
        <f t="shared" si="58"/>
        <v>338.53999999999905</v>
      </c>
      <c r="O294" s="26"/>
      <c r="P294" s="55"/>
      <c r="Q294" s="39">
        <v>407.72999999999956</v>
      </c>
      <c r="R294" s="26"/>
      <c r="S294" s="39">
        <f t="shared" si="59"/>
        <v>-69.190000000000509</v>
      </c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34" t="s">
        <v>376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/>
      <c r="J295" s="26"/>
      <c r="K295" s="7"/>
      <c r="L295" s="39">
        <v>688.19000000000051</v>
      </c>
      <c r="M295" s="26"/>
      <c r="N295" s="39">
        <f t="shared" si="58"/>
        <v>688.19000000000051</v>
      </c>
      <c r="O295" s="26"/>
      <c r="P295" s="7"/>
      <c r="Q295" s="39">
        <v>212.97000000000116</v>
      </c>
      <c r="R295" s="26"/>
      <c r="S295" s="39">
        <f t="shared" si="59"/>
        <v>475.21999999999935</v>
      </c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34" t="s">
        <v>377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/>
      <c r="J296" s="26"/>
      <c r="K296" s="7"/>
      <c r="L296" s="39">
        <v>501.89999999999964</v>
      </c>
      <c r="M296" s="26"/>
      <c r="N296" s="39">
        <f t="shared" si="58"/>
        <v>501.89999999999964</v>
      </c>
      <c r="O296" s="26"/>
      <c r="P296" s="7"/>
      <c r="Q296" s="39">
        <v>1251.0200000000004</v>
      </c>
      <c r="R296" s="26"/>
      <c r="S296" s="39">
        <f t="shared" si="59"/>
        <v>-749.1200000000008</v>
      </c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34" t="s">
        <v>378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/>
      <c r="J297" s="26"/>
      <c r="K297" s="7"/>
      <c r="L297" s="39">
        <v>1358.6000000000004</v>
      </c>
      <c r="M297" s="26"/>
      <c r="N297" s="39">
        <f t="shared" si="58"/>
        <v>1358.6000000000004</v>
      </c>
      <c r="O297" s="26"/>
      <c r="P297" s="7"/>
      <c r="Q297" s="39">
        <v>3300.29</v>
      </c>
      <c r="R297" s="26"/>
      <c r="S297" s="39">
        <f t="shared" si="59"/>
        <v>-1941.6899999999996</v>
      </c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34" t="s">
        <v>379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/>
      <c r="J298" s="26"/>
      <c r="K298" s="7"/>
      <c r="L298" s="39">
        <v>4364.17</v>
      </c>
      <c r="M298" s="26"/>
      <c r="N298" s="39">
        <f t="shared" si="58"/>
        <v>4364.17</v>
      </c>
      <c r="O298" s="26"/>
      <c r="P298" s="7"/>
      <c r="Q298" s="39">
        <v>4903.760000000002</v>
      </c>
      <c r="R298" s="26"/>
      <c r="S298" s="39">
        <f t="shared" si="59"/>
        <v>-539.59000000000196</v>
      </c>
      <c r="T298" s="6"/>
      <c r="U298" s="6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34" t="s">
        <v>380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/>
      <c r="J299" s="26"/>
      <c r="K299" s="7"/>
      <c r="L299" s="39">
        <v>2389.3199999999997</v>
      </c>
      <c r="M299" s="26"/>
      <c r="N299" s="39">
        <f t="shared" si="58"/>
        <v>2389.3199999999997</v>
      </c>
      <c r="O299" s="26"/>
      <c r="P299" s="7"/>
      <c r="Q299" s="39">
        <v>392.92999999999984</v>
      </c>
      <c r="R299" s="26"/>
      <c r="S299" s="39">
        <f t="shared" si="59"/>
        <v>1996.3899999999999</v>
      </c>
      <c r="T299" s="6"/>
      <c r="U299" s="6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25" hidden="1" customHeight="1">
      <c r="A300" s="234" t="s">
        <v>360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/>
      <c r="J300" s="26"/>
      <c r="K300" s="7"/>
      <c r="L300" s="39">
        <v>0</v>
      </c>
      <c r="M300" s="26"/>
      <c r="N300" s="39">
        <f t="shared" si="58"/>
        <v>0</v>
      </c>
      <c r="O300" s="26"/>
      <c r="P300" s="7"/>
      <c r="Q300" s="39">
        <v>0</v>
      </c>
      <c r="R300" s="26"/>
      <c r="S300" s="39">
        <f t="shared" si="59"/>
        <v>0</v>
      </c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25" hidden="1" customHeight="1">
      <c r="A301" s="234" t="s">
        <v>360</v>
      </c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/>
      <c r="J301" s="26"/>
      <c r="K301" s="7"/>
      <c r="L301" s="39">
        <v>0</v>
      </c>
      <c r="M301" s="26"/>
      <c r="N301" s="39">
        <f t="shared" si="58"/>
        <v>0</v>
      </c>
      <c r="O301" s="26"/>
      <c r="P301" s="7"/>
      <c r="Q301" s="39">
        <v>0</v>
      </c>
      <c r="R301" s="26"/>
      <c r="S301" s="39">
        <f t="shared" si="59"/>
        <v>0</v>
      </c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25" hidden="1" customHeight="1">
      <c r="A302" s="234" t="s">
        <v>360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/>
      <c r="J302" s="26"/>
      <c r="K302" s="7"/>
      <c r="L302" s="39">
        <v>0</v>
      </c>
      <c r="M302" s="26"/>
      <c r="N302" s="39">
        <f t="shared" si="58"/>
        <v>0</v>
      </c>
      <c r="O302" s="26"/>
      <c r="P302" s="7"/>
      <c r="Q302" s="39">
        <v>0</v>
      </c>
      <c r="R302" s="26"/>
      <c r="S302" s="39">
        <f t="shared" si="59"/>
        <v>0</v>
      </c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" customHeight="1">
      <c r="A303" s="234"/>
      <c r="B303" s="7"/>
      <c r="C303" s="139" t="s">
        <v>63</v>
      </c>
      <c r="D303" s="62" t="s">
        <v>92</v>
      </c>
      <c r="E303" s="63" t="e">
        <f>F303/F$268</f>
        <v>#DIV/0!</v>
      </c>
      <c r="F303" s="64">
        <f>+SUM(F285:F302)</f>
        <v>0</v>
      </c>
      <c r="G303" s="65"/>
      <c r="H303" s="63"/>
      <c r="I303" s="64"/>
      <c r="J303" s="65" t="s">
        <v>92</v>
      </c>
      <c r="K303" s="63">
        <f>L303/L$268</f>
        <v>0.34671927328130159</v>
      </c>
      <c r="L303" s="64">
        <f>+SUM(L285:L302)</f>
        <v>41007.909999999996</v>
      </c>
      <c r="M303" s="66"/>
      <c r="N303" s="64">
        <f t="shared" si="58"/>
        <v>41007.909999999996</v>
      </c>
      <c r="O303" s="65" t="s">
        <v>92</v>
      </c>
      <c r="P303" s="63">
        <f>Q303/Q$268</f>
        <v>0.30042022458433237</v>
      </c>
      <c r="Q303" s="64">
        <f>+SUM(Q285:Q302)</f>
        <v>45785.310000000005</v>
      </c>
      <c r="R303" s="67"/>
      <c r="S303" s="64">
        <f t="shared" si="59"/>
        <v>-4777.4000000000087</v>
      </c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" customHeight="1">
      <c r="A305" s="234"/>
      <c r="B305" s="7"/>
      <c r="C305" s="139" t="s">
        <v>64</v>
      </c>
      <c r="D305" s="62" t="s">
        <v>38</v>
      </c>
      <c r="E305" s="63" t="e">
        <f>F305/F$268</f>
        <v>#DIV/0!</v>
      </c>
      <c r="F305" s="64">
        <f>F284+F303</f>
        <v>0</v>
      </c>
      <c r="G305" s="65"/>
      <c r="H305" s="63"/>
      <c r="I305" s="64"/>
      <c r="J305" s="65" t="s">
        <v>38</v>
      </c>
      <c r="K305" s="63">
        <f>L305/L$268</f>
        <v>1.1118387711257154</v>
      </c>
      <c r="L305" s="64">
        <f>L284+L303</f>
        <v>131501.72999999998</v>
      </c>
      <c r="M305" s="66"/>
      <c r="N305" s="64">
        <f t="shared" ref="N305:N307" si="60">L305-F305</f>
        <v>131501.72999999998</v>
      </c>
      <c r="O305" s="65" t="s">
        <v>38</v>
      </c>
      <c r="P305" s="63">
        <f>Q305/Q$268</f>
        <v>0.98001183956717208</v>
      </c>
      <c r="Q305" s="64">
        <f>Q284+Q303</f>
        <v>149357.94000000003</v>
      </c>
      <c r="R305" s="67"/>
      <c r="S305" s="64">
        <f>L305-Q305</f>
        <v>-17856.21000000005</v>
      </c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 t="shared" si="60"/>
        <v>0</v>
      </c>
      <c r="O306" s="26"/>
      <c r="P306" s="7"/>
      <c r="Q306" s="39"/>
      <c r="R306" s="26"/>
      <c r="S306" s="39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" customHeight="1" thickBot="1">
      <c r="A307" s="234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/>
      <c r="J307" s="279"/>
      <c r="K307" s="278"/>
      <c r="L307" s="138">
        <f>L268-L305</f>
        <v>-13227.629999999976</v>
      </c>
      <c r="M307" s="280"/>
      <c r="N307" s="138">
        <f t="shared" si="60"/>
        <v>-13227.629999999976</v>
      </c>
      <c r="O307" s="279"/>
      <c r="P307" s="278"/>
      <c r="Q307" s="138">
        <f>Q268-Q305</f>
        <v>3046.2799999999988</v>
      </c>
      <c r="R307" s="281"/>
      <c r="S307" s="138">
        <f>L307-Q307</f>
        <v>-16273.909999999974</v>
      </c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429" t="str">
        <f>C1</f>
        <v>Ste-Marie Auto</v>
      </c>
      <c r="D310" s="430"/>
      <c r="E310" s="431"/>
      <c r="F310" s="430"/>
      <c r="G310" s="430"/>
      <c r="H310" s="429"/>
      <c r="I310" s="430"/>
      <c r="J310" s="429"/>
      <c r="K310" s="432" t="s">
        <v>94</v>
      </c>
      <c r="L310" s="430"/>
      <c r="M310" s="430"/>
      <c r="N310" s="433"/>
      <c r="O310" s="429"/>
      <c r="P310" s="430"/>
      <c r="Q310" s="429"/>
      <c r="R310" s="430"/>
      <c r="S310" s="434" t="str">
        <f>$S$1</f>
        <v>Réalisé, Septembre 2026</v>
      </c>
      <c r="T310" s="405"/>
      <c r="U310" s="381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426" t="s">
        <v>5</v>
      </c>
      <c r="E312" s="427"/>
      <c r="F312" s="425"/>
      <c r="G312" s="424"/>
      <c r="H312" s="427"/>
      <c r="I312" s="425"/>
      <c r="J312" s="424" t="s">
        <v>7</v>
      </c>
      <c r="K312" s="427"/>
      <c r="L312" s="425"/>
      <c r="M312" s="424" t="s">
        <v>210</v>
      </c>
      <c r="N312" s="425"/>
      <c r="O312" s="426" t="s">
        <v>8</v>
      </c>
      <c r="P312" s="427"/>
      <c r="Q312" s="425"/>
      <c r="R312" s="424" t="s">
        <v>211</v>
      </c>
      <c r="S312" s="425"/>
      <c r="T312" s="409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34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214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34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34" t="s">
        <v>381</v>
      </c>
      <c r="B315" s="7" t="s">
        <v>94</v>
      </c>
      <c r="C315" s="26" t="s">
        <v>382</v>
      </c>
      <c r="D315" s="269">
        <v>0</v>
      </c>
      <c r="E315" s="55">
        <v>0</v>
      </c>
      <c r="F315" s="55">
        <v>0</v>
      </c>
      <c r="G315" s="98"/>
      <c r="H315" s="55"/>
      <c r="I315" s="55"/>
      <c r="J315" s="40"/>
      <c r="K315" s="55">
        <v>152593.67000000004</v>
      </c>
      <c r="L315" s="39">
        <v>67130.329999999987</v>
      </c>
      <c r="M315" s="99">
        <f>IFERROR((K315-E315)/E315,0)</f>
        <v>0</v>
      </c>
      <c r="N315" s="39">
        <f>L315-F315</f>
        <v>67130.329999999987</v>
      </c>
      <c r="O315" s="40"/>
      <c r="P315" s="55">
        <v>162856.77999999994</v>
      </c>
      <c r="Q315" s="39">
        <v>69072.859999999928</v>
      </c>
      <c r="R315" s="99">
        <f>IF(O315=0,0,J315/O315)</f>
        <v>0</v>
      </c>
      <c r="S315" s="39">
        <f>L315-Q315</f>
        <v>-1942.5299999999406</v>
      </c>
      <c r="T315" s="5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34" t="s">
        <v>383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0.43992866807646719</v>
      </c>
      <c r="M316" s="99"/>
      <c r="N316" s="39">
        <f>IFERROR(N315/M315,0)</f>
        <v>0</v>
      </c>
      <c r="O316" s="40"/>
      <c r="P316" s="7"/>
      <c r="Q316" s="100">
        <f>IFERROR(Q315/P315,0)</f>
        <v>0.42413254148829388</v>
      </c>
      <c r="R316" s="40"/>
      <c r="S316" s="100">
        <f>IF(Q315=0,0,(S315/Q315))</f>
        <v>-2.8122912530333079E-2</v>
      </c>
      <c r="T316" s="5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34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86"/>
      <c r="S317" s="87"/>
      <c r="T317" s="5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34" t="s">
        <v>384</v>
      </c>
      <c r="B318" s="7" t="s">
        <v>94</v>
      </c>
      <c r="C318" s="71" t="s">
        <v>385</v>
      </c>
      <c r="D318" s="105">
        <v>0</v>
      </c>
      <c r="E318" s="55">
        <v>0</v>
      </c>
      <c r="F318" s="55">
        <v>0</v>
      </c>
      <c r="G318" s="131"/>
      <c r="H318" s="55"/>
      <c r="I318" s="55"/>
      <c r="J318" s="106"/>
      <c r="K318" s="105">
        <v>10652.45</v>
      </c>
      <c r="L318" s="72">
        <v>6504.8100000000022</v>
      </c>
      <c r="M318" s="109">
        <f>IFERROR((K318-E318)/E318,0)</f>
        <v>0</v>
      </c>
      <c r="N318" s="72">
        <f>L318-F318</f>
        <v>6504.8100000000022</v>
      </c>
      <c r="O318" s="106"/>
      <c r="P318" s="105">
        <v>9764.260000000002</v>
      </c>
      <c r="Q318" s="72">
        <v>4717.3100000000013</v>
      </c>
      <c r="R318" s="99">
        <f>IF(O318=0,0,J318/O318)</f>
        <v>0</v>
      </c>
      <c r="S318" s="39">
        <f>L318-Q318</f>
        <v>1787.5000000000009</v>
      </c>
      <c r="T318" s="407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34" t="s">
        <v>383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/>
      <c r="J319" s="40"/>
      <c r="K319" s="7"/>
      <c r="L319" s="100">
        <f>IFERROR(L318/K318,0)</f>
        <v>0.61063980586625632</v>
      </c>
      <c r="M319" s="99"/>
      <c r="N319" s="39">
        <f>IFERROR(N318/F318,0)</f>
        <v>0</v>
      </c>
      <c r="O319" s="40"/>
      <c r="P319" s="7"/>
      <c r="Q319" s="100">
        <f>IFERROR(Q318/P318,0)</f>
        <v>0.48312007259126655</v>
      </c>
      <c r="R319" s="40"/>
      <c r="S319" s="100">
        <f>IF(Q318=0,0,(S318/Q318))</f>
        <v>0.37892358144790156</v>
      </c>
      <c r="T319" s="407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34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407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34" t="s">
        <v>386</v>
      </c>
      <c r="B321" s="7" t="s">
        <v>94</v>
      </c>
      <c r="C321" s="71" t="s">
        <v>387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27283.730000000003</v>
      </c>
      <c r="L321" s="39">
        <v>15494.440000000006</v>
      </c>
      <c r="M321" s="99">
        <f>IFERROR((K321-E321)/E321,0)</f>
        <v>0</v>
      </c>
      <c r="N321" s="72">
        <f>L321-F321</f>
        <v>15494.440000000006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15494.440000000006</v>
      </c>
      <c r="T321" s="407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34" t="s">
        <v>383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0.56790035673274897</v>
      </c>
      <c r="M322" s="27"/>
      <c r="N322" s="28">
        <f>IF(L321=0,0,N321/L321)</f>
        <v>1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407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34"/>
      <c r="B323" s="7" t="s">
        <v>94</v>
      </c>
      <c r="C323" s="14"/>
      <c r="D323" s="73"/>
      <c r="E323" s="73"/>
      <c r="F323" s="102"/>
      <c r="G323" s="14"/>
      <c r="H323" s="73"/>
      <c r="I323" s="102"/>
      <c r="J323" s="14"/>
      <c r="K323" s="73"/>
      <c r="L323" s="61"/>
      <c r="M323" s="444"/>
      <c r="N323" s="107"/>
      <c r="O323" s="14"/>
      <c r="P323" s="73"/>
      <c r="Q323" s="102"/>
      <c r="R323" s="104"/>
      <c r="S323" s="102"/>
      <c r="T323" s="407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34"/>
      <c r="B324" s="7" t="s">
        <v>94</v>
      </c>
      <c r="C324" s="26" t="s">
        <v>388</v>
      </c>
      <c r="D324" s="7"/>
      <c r="E324" s="7"/>
      <c r="F324" s="100"/>
      <c r="G324" s="26"/>
      <c r="H324" s="7"/>
      <c r="I324" s="100"/>
      <c r="J324" s="26"/>
      <c r="K324" s="7"/>
      <c r="L324" s="39">
        <v>-697.14000000000306</v>
      </c>
      <c r="M324" s="27"/>
      <c r="N324" s="28"/>
      <c r="O324" s="26"/>
      <c r="P324" s="7"/>
      <c r="Q324" s="39">
        <v>1697.5900000000001</v>
      </c>
      <c r="R324" s="99">
        <f>IF(O324=0,0,J324/O324)</f>
        <v>0</v>
      </c>
      <c r="S324" s="39">
        <f>L324-Q324</f>
        <v>-2394.7300000000032</v>
      </c>
      <c r="T324" s="407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34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407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34" t="s">
        <v>389</v>
      </c>
      <c r="B326" s="7" t="s">
        <v>94</v>
      </c>
      <c r="C326" s="264" t="s">
        <v>390</v>
      </c>
      <c r="D326" s="41"/>
      <c r="E326" s="42">
        <f t="shared" ref="E326:F326" si="61">E318+E321+E315</f>
        <v>0</v>
      </c>
      <c r="F326" s="43">
        <f t="shared" si="61"/>
        <v>0</v>
      </c>
      <c r="G326" s="44"/>
      <c r="H326" s="42"/>
      <c r="I326" s="43"/>
      <c r="J326" s="44"/>
      <c r="K326" s="41">
        <f>K318+K321+K315</f>
        <v>190529.85000000003</v>
      </c>
      <c r="L326" s="43">
        <f>L318+L321+L315+L324</f>
        <v>88432.439999999988</v>
      </c>
      <c r="M326" s="44" t="e">
        <f>L327-F327</f>
        <v>#DIV/0!</v>
      </c>
      <c r="N326" s="43">
        <f>L326-F326</f>
        <v>88432.439999999988</v>
      </c>
      <c r="O326" s="44"/>
      <c r="P326" s="41">
        <f>P318+P321+P315</f>
        <v>172621.03999999995</v>
      </c>
      <c r="Q326" s="43">
        <f>Q318+Q321+Q315+Q324</f>
        <v>75487.759999999922</v>
      </c>
      <c r="R326" s="44"/>
      <c r="S326" s="43">
        <f>L326-Q326</f>
        <v>12944.680000000066</v>
      </c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34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>
        <f>L326/K326</f>
        <v>0.46413955608530616</v>
      </c>
      <c r="M327" s="48"/>
      <c r="N327" s="49" t="e">
        <f>N326/F326</f>
        <v>#DIV/0!</v>
      </c>
      <c r="O327" s="47"/>
      <c r="P327" s="265"/>
      <c r="Q327" s="267">
        <f>Q326/P326</f>
        <v>0.43730335537313381</v>
      </c>
      <c r="R327" s="48"/>
      <c r="S327" s="267">
        <f>S326/Q326</f>
        <v>0.17148051551668878</v>
      </c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34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34" t="s">
        <v>391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34" t="s">
        <v>392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/>
      <c r="J330" s="26"/>
      <c r="K330" s="7"/>
      <c r="L330" s="39">
        <v>14083.029999999999</v>
      </c>
      <c r="M330" s="26"/>
      <c r="N330" s="39">
        <f t="shared" ref="N330:N360" si="62">L330-F330</f>
        <v>14083.029999999999</v>
      </c>
      <c r="O330" s="26"/>
      <c r="P330" s="7"/>
      <c r="Q330" s="39">
        <v>20900.510000000009</v>
      </c>
      <c r="R330" s="26"/>
      <c r="S330" s="39">
        <f t="shared" ref="S330:S361" si="63">L330-Q330</f>
        <v>-6817.4800000000105</v>
      </c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34" t="s">
        <v>393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/>
      <c r="J331" s="26"/>
      <c r="K331" s="7"/>
      <c r="L331" s="39">
        <v>5677.7799999999988</v>
      </c>
      <c r="M331" s="26"/>
      <c r="N331" s="39">
        <f t="shared" si="62"/>
        <v>5677.7799999999988</v>
      </c>
      <c r="O331" s="26"/>
      <c r="P331" s="7"/>
      <c r="Q331" s="39">
        <v>6227.1900000000023</v>
      </c>
      <c r="R331" s="26"/>
      <c r="S331" s="39">
        <f t="shared" si="63"/>
        <v>-549.41000000000349</v>
      </c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34" t="s">
        <v>394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/>
      <c r="J332" s="71"/>
      <c r="K332" s="69"/>
      <c r="L332" s="72">
        <v>2747.8500000000004</v>
      </c>
      <c r="M332" s="71"/>
      <c r="N332" s="72">
        <f t="shared" si="62"/>
        <v>2747.8500000000004</v>
      </c>
      <c r="O332" s="71"/>
      <c r="P332" s="69"/>
      <c r="Q332" s="72">
        <v>0</v>
      </c>
      <c r="R332" s="71"/>
      <c r="S332" s="72">
        <f t="shared" si="63"/>
        <v>2747.8500000000004</v>
      </c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34" t="s">
        <v>395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/>
      <c r="J333" s="26"/>
      <c r="K333" s="7"/>
      <c r="L333" s="39">
        <v>0</v>
      </c>
      <c r="M333" s="26"/>
      <c r="N333" s="39">
        <f t="shared" si="62"/>
        <v>0</v>
      </c>
      <c r="O333" s="26"/>
      <c r="P333" s="7"/>
      <c r="Q333" s="39">
        <v>0</v>
      </c>
      <c r="R333" s="26"/>
      <c r="S333" s="39">
        <f t="shared" si="63"/>
        <v>0</v>
      </c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25" hidden="1" customHeight="1">
      <c r="A334" s="234" t="s">
        <v>396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/>
      <c r="J334" s="26"/>
      <c r="K334" s="7"/>
      <c r="L334" s="39">
        <v>0</v>
      </c>
      <c r="M334" s="26"/>
      <c r="N334" s="39">
        <f t="shared" si="62"/>
        <v>0</v>
      </c>
      <c r="O334" s="26"/>
      <c r="P334" s="7"/>
      <c r="Q334" s="39">
        <v>0</v>
      </c>
      <c r="R334" s="26"/>
      <c r="S334" s="39">
        <f t="shared" si="63"/>
        <v>0</v>
      </c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25" hidden="1" customHeight="1">
      <c r="A335" s="234" t="s">
        <v>396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/>
      <c r="J335" s="26"/>
      <c r="K335" s="7"/>
      <c r="L335" s="39">
        <v>0</v>
      </c>
      <c r="M335" s="26"/>
      <c r="N335" s="39">
        <f t="shared" si="62"/>
        <v>0</v>
      </c>
      <c r="O335" s="26"/>
      <c r="P335" s="7"/>
      <c r="Q335" s="39">
        <v>0</v>
      </c>
      <c r="R335" s="26"/>
      <c r="S335" s="39">
        <f t="shared" si="63"/>
        <v>0</v>
      </c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25" hidden="1" customHeight="1">
      <c r="A336" s="234" t="s">
        <v>396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/>
      <c r="J336" s="26"/>
      <c r="K336" s="7"/>
      <c r="L336" s="39">
        <v>0</v>
      </c>
      <c r="M336" s="26"/>
      <c r="N336" s="39">
        <f t="shared" si="62"/>
        <v>0</v>
      </c>
      <c r="O336" s="26"/>
      <c r="P336" s="7"/>
      <c r="Q336" s="39">
        <v>0</v>
      </c>
      <c r="R336" s="26"/>
      <c r="S336" s="39">
        <f t="shared" si="63"/>
        <v>0</v>
      </c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34" t="s">
        <v>397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/>
      <c r="J337" s="26"/>
      <c r="K337" s="7"/>
      <c r="L337" s="39">
        <v>5365.2000000000044</v>
      </c>
      <c r="M337" s="26"/>
      <c r="N337" s="39">
        <f t="shared" si="62"/>
        <v>5365.2000000000044</v>
      </c>
      <c r="O337" s="26"/>
      <c r="P337" s="7"/>
      <c r="Q337" s="39">
        <v>4524.4200000000019</v>
      </c>
      <c r="R337" s="26"/>
      <c r="S337" s="39">
        <f t="shared" si="63"/>
        <v>840.78000000000247</v>
      </c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34" t="s">
        <v>398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/>
      <c r="J338" s="71"/>
      <c r="K338" s="69"/>
      <c r="L338" s="72">
        <v>5519.6900000000023</v>
      </c>
      <c r="M338" s="71"/>
      <c r="N338" s="72">
        <f t="shared" si="62"/>
        <v>5519.6900000000023</v>
      </c>
      <c r="O338" s="71"/>
      <c r="P338" s="69"/>
      <c r="Q338" s="72">
        <v>5123.9100000000035</v>
      </c>
      <c r="R338" s="71"/>
      <c r="S338" s="72">
        <f t="shared" si="63"/>
        <v>395.77999999999884</v>
      </c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34" t="s">
        <v>399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/>
      <c r="J339" s="26"/>
      <c r="K339" s="7"/>
      <c r="L339" s="39">
        <v>1186.8600000000006</v>
      </c>
      <c r="M339" s="26"/>
      <c r="N339" s="39">
        <f t="shared" si="62"/>
        <v>1186.8600000000006</v>
      </c>
      <c r="O339" s="26"/>
      <c r="P339" s="7"/>
      <c r="Q339" s="39">
        <v>2673.9199999999983</v>
      </c>
      <c r="R339" s="26"/>
      <c r="S339" s="39">
        <f t="shared" si="63"/>
        <v>-1487.0599999999977</v>
      </c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34" t="s">
        <v>400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/>
      <c r="J340" s="26"/>
      <c r="K340" s="7"/>
      <c r="L340" s="39">
        <v>1652.8300000000008</v>
      </c>
      <c r="M340" s="26"/>
      <c r="N340" s="39">
        <f t="shared" si="62"/>
        <v>1652.8300000000008</v>
      </c>
      <c r="O340" s="26"/>
      <c r="P340" s="7"/>
      <c r="Q340" s="39">
        <v>46.259999999999991</v>
      </c>
      <c r="R340" s="26"/>
      <c r="S340" s="39">
        <f t="shared" si="63"/>
        <v>1606.5700000000008</v>
      </c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25" hidden="1" customHeight="1">
      <c r="A341" s="234" t="s">
        <v>396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/>
      <c r="J341" s="14"/>
      <c r="K341" s="73"/>
      <c r="L341" s="39">
        <v>0</v>
      </c>
      <c r="M341" s="14"/>
      <c r="N341" s="61">
        <f t="shared" si="62"/>
        <v>0</v>
      </c>
      <c r="O341" s="14"/>
      <c r="P341" s="73"/>
      <c r="Q341" s="39">
        <v>0</v>
      </c>
      <c r="R341" s="14"/>
      <c r="S341" s="61">
        <f t="shared" si="63"/>
        <v>0</v>
      </c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" customHeight="1">
      <c r="A342" s="234" t="s">
        <v>401</v>
      </c>
      <c r="B342" s="7" t="s">
        <v>94</v>
      </c>
      <c r="C342" s="139" t="s">
        <v>48</v>
      </c>
      <c r="D342" s="62" t="s">
        <v>38</v>
      </c>
      <c r="E342" s="63" t="e">
        <f>F342/F$326</f>
        <v>#DIV/0!</v>
      </c>
      <c r="F342" s="64">
        <f>+SUM(F330:F341)</f>
        <v>0</v>
      </c>
      <c r="G342" s="65"/>
      <c r="H342" s="63"/>
      <c r="I342" s="64"/>
      <c r="J342" s="65" t="s">
        <v>38</v>
      </c>
      <c r="K342" s="63">
        <f>IF(L326=0,0,L342/L$326)</f>
        <v>0.40972792337291619</v>
      </c>
      <c r="L342" s="64">
        <f>+SUM(L330:L341)</f>
        <v>36233.240000000005</v>
      </c>
      <c r="M342" s="66"/>
      <c r="N342" s="64">
        <f t="shared" si="62"/>
        <v>36233.240000000005</v>
      </c>
      <c r="O342" s="65" t="s">
        <v>38</v>
      </c>
      <c r="P342" s="63">
        <f>IF(Q326=0,0,Q342/Q$326)</f>
        <v>0.52321343221735628</v>
      </c>
      <c r="Q342" s="64">
        <f>+SUM(Q330:Q341)</f>
        <v>39496.210000000014</v>
      </c>
      <c r="R342" s="67"/>
      <c r="S342" s="64">
        <f t="shared" si="63"/>
        <v>-3262.9700000000084</v>
      </c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34" t="s">
        <v>402</v>
      </c>
      <c r="B343" s="7" t="s">
        <v>94</v>
      </c>
      <c r="C343" s="329" t="s">
        <v>49</v>
      </c>
      <c r="D343" s="54"/>
      <c r="E343" s="7"/>
      <c r="F343" s="19">
        <v>0</v>
      </c>
      <c r="G343" s="56"/>
      <c r="H343" s="7"/>
      <c r="I343" s="19"/>
      <c r="J343" s="26"/>
      <c r="K343" s="7"/>
      <c r="L343" s="39">
        <v>1885.45</v>
      </c>
      <c r="M343" s="26"/>
      <c r="N343" s="39">
        <f t="shared" si="62"/>
        <v>1885.45</v>
      </c>
      <c r="O343" s="26"/>
      <c r="P343" s="7"/>
      <c r="Q343" s="39">
        <v>1266.0899999999999</v>
      </c>
      <c r="R343" s="26"/>
      <c r="S343" s="39">
        <f t="shared" si="63"/>
        <v>619.36000000000013</v>
      </c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34" t="s">
        <v>403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/>
      <c r="J344" s="26"/>
      <c r="K344" s="7"/>
      <c r="L344" s="39">
        <v>870.60999999999876</v>
      </c>
      <c r="M344" s="26"/>
      <c r="N344" s="39">
        <f t="shared" si="62"/>
        <v>870.60999999999876</v>
      </c>
      <c r="O344" s="26"/>
      <c r="P344" s="7"/>
      <c r="Q344" s="39">
        <v>821.70999999999913</v>
      </c>
      <c r="R344" s="26"/>
      <c r="S344" s="39">
        <f t="shared" si="63"/>
        <v>48.899999999999636</v>
      </c>
      <c r="T344" s="6"/>
      <c r="U344" s="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34" t="s">
        <v>404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/>
      <c r="J345" s="14"/>
      <c r="K345" s="73"/>
      <c r="L345" s="39">
        <v>575.58999999999969</v>
      </c>
      <c r="M345" s="14"/>
      <c r="N345" s="61">
        <f t="shared" si="62"/>
        <v>575.58999999999969</v>
      </c>
      <c r="O345" s="14"/>
      <c r="P345" s="73"/>
      <c r="Q345" s="39">
        <v>1041.1599999999999</v>
      </c>
      <c r="R345" s="14"/>
      <c r="S345" s="61">
        <f t="shared" si="63"/>
        <v>-465.57000000000016</v>
      </c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34" t="s">
        <v>405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/>
      <c r="J346" s="26"/>
      <c r="K346" s="7"/>
      <c r="L346" s="72">
        <v>3939.3099999999977</v>
      </c>
      <c r="M346" s="26"/>
      <c r="N346" s="39">
        <f t="shared" si="62"/>
        <v>3939.3099999999977</v>
      </c>
      <c r="O346" s="26"/>
      <c r="P346" s="7"/>
      <c r="Q346" s="72">
        <v>2561.8899999999994</v>
      </c>
      <c r="R346" s="26"/>
      <c r="S346" s="39">
        <f t="shared" si="63"/>
        <v>1377.4199999999983</v>
      </c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34" t="s">
        <v>406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/>
      <c r="J347" s="26"/>
      <c r="K347" s="7"/>
      <c r="L347" s="39">
        <v>-253.46000000000004</v>
      </c>
      <c r="M347" s="26"/>
      <c r="N347" s="39">
        <f t="shared" si="62"/>
        <v>-253.46000000000004</v>
      </c>
      <c r="O347" s="26"/>
      <c r="P347" s="7"/>
      <c r="Q347" s="39">
        <v>3239.5099999999993</v>
      </c>
      <c r="R347" s="26"/>
      <c r="S347" s="39">
        <f t="shared" si="63"/>
        <v>-3492.9699999999993</v>
      </c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34" t="s">
        <v>407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/>
      <c r="J348" s="14"/>
      <c r="K348" s="73"/>
      <c r="L348" s="39">
        <v>2196.7300000000014</v>
      </c>
      <c r="M348" s="14"/>
      <c r="N348" s="61">
        <f t="shared" si="62"/>
        <v>2196.7300000000014</v>
      </c>
      <c r="O348" s="14"/>
      <c r="P348" s="73"/>
      <c r="Q348" s="39">
        <v>3090.1900000000005</v>
      </c>
      <c r="R348" s="14"/>
      <c r="S348" s="61">
        <f t="shared" si="63"/>
        <v>-893.45999999999913</v>
      </c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34" t="s">
        <v>408</v>
      </c>
      <c r="B349" s="7" t="s">
        <v>94</v>
      </c>
      <c r="C349" s="329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62"/>
        <v>0</v>
      </c>
      <c r="O349" s="26"/>
      <c r="P349" s="7"/>
      <c r="Q349" s="72">
        <v>0</v>
      </c>
      <c r="R349" s="26"/>
      <c r="S349" s="39">
        <f t="shared" si="63"/>
        <v>0</v>
      </c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34" t="s">
        <v>409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/>
      <c r="J350" s="26"/>
      <c r="K350" s="7"/>
      <c r="L350" s="39">
        <v>5084.6199999999953</v>
      </c>
      <c r="M350" s="26"/>
      <c r="N350" s="39">
        <f t="shared" si="62"/>
        <v>5084.6199999999953</v>
      </c>
      <c r="O350" s="26"/>
      <c r="P350" s="7"/>
      <c r="Q350" s="39">
        <v>9024.4500000000007</v>
      </c>
      <c r="R350" s="26"/>
      <c r="S350" s="39">
        <f t="shared" si="63"/>
        <v>-3939.8300000000054</v>
      </c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34" t="s">
        <v>410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/>
      <c r="J351" s="26"/>
      <c r="K351" s="7"/>
      <c r="L351" s="39">
        <v>411.05</v>
      </c>
      <c r="M351" s="26"/>
      <c r="N351" s="39">
        <f t="shared" si="62"/>
        <v>411.05</v>
      </c>
      <c r="O351" s="26"/>
      <c r="P351" s="7"/>
      <c r="Q351" s="39">
        <v>0</v>
      </c>
      <c r="R351" s="26"/>
      <c r="S351" s="39">
        <f t="shared" si="63"/>
        <v>411.05</v>
      </c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34" t="s">
        <v>411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/>
      <c r="J352" s="26"/>
      <c r="K352" s="7"/>
      <c r="L352" s="39">
        <v>48.799999999999727</v>
      </c>
      <c r="M352" s="26"/>
      <c r="N352" s="39">
        <f t="shared" si="62"/>
        <v>48.799999999999727</v>
      </c>
      <c r="O352" s="26"/>
      <c r="P352" s="7"/>
      <c r="Q352" s="39">
        <v>692.51000000000022</v>
      </c>
      <c r="R352" s="26"/>
      <c r="S352" s="39">
        <f t="shared" si="63"/>
        <v>-643.71000000000049</v>
      </c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34" t="s">
        <v>412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/>
      <c r="J353" s="26"/>
      <c r="K353" s="7"/>
      <c r="L353" s="39">
        <v>813.06999999999994</v>
      </c>
      <c r="M353" s="26"/>
      <c r="N353" s="39">
        <f t="shared" si="62"/>
        <v>813.06999999999994</v>
      </c>
      <c r="O353" s="26"/>
      <c r="P353" s="7"/>
      <c r="Q353" s="39">
        <v>52.659999999999854</v>
      </c>
      <c r="R353" s="26"/>
      <c r="S353" s="39">
        <f t="shared" si="63"/>
        <v>760.41000000000008</v>
      </c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34" t="s">
        <v>413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/>
      <c r="J354" s="26"/>
      <c r="K354" s="7"/>
      <c r="L354" s="39">
        <v>167.30000000000018</v>
      </c>
      <c r="M354" s="26"/>
      <c r="N354" s="39">
        <f t="shared" si="62"/>
        <v>167.30000000000018</v>
      </c>
      <c r="O354" s="26"/>
      <c r="P354" s="7"/>
      <c r="Q354" s="39">
        <v>261.45000000000027</v>
      </c>
      <c r="R354" s="26"/>
      <c r="S354" s="39">
        <f t="shared" si="63"/>
        <v>-94.150000000000091</v>
      </c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34" t="s">
        <v>414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/>
      <c r="J355" s="26"/>
      <c r="K355" s="7"/>
      <c r="L355" s="39">
        <v>-5576.78</v>
      </c>
      <c r="M355" s="26"/>
      <c r="N355" s="39">
        <f t="shared" si="62"/>
        <v>-5576.78</v>
      </c>
      <c r="O355" s="26"/>
      <c r="P355" s="7"/>
      <c r="Q355" s="39">
        <v>2100.88</v>
      </c>
      <c r="R355" s="26"/>
      <c r="S355" s="39">
        <f t="shared" si="63"/>
        <v>-7677.66</v>
      </c>
      <c r="T355" s="6"/>
      <c r="U355" s="6" t="s">
        <v>522</v>
      </c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34" t="s">
        <v>415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/>
      <c r="J356" s="26"/>
      <c r="K356" s="7"/>
      <c r="L356" s="39">
        <v>0</v>
      </c>
      <c r="M356" s="26"/>
      <c r="N356" s="39">
        <f t="shared" si="62"/>
        <v>0</v>
      </c>
      <c r="O356" s="26"/>
      <c r="P356" s="7"/>
      <c r="Q356" s="39">
        <v>1692</v>
      </c>
      <c r="R356" s="26"/>
      <c r="S356" s="39">
        <f t="shared" si="63"/>
        <v>-1692</v>
      </c>
      <c r="T356" s="6"/>
      <c r="U356" s="6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34" t="s">
        <v>416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/>
      <c r="J357" s="26"/>
      <c r="K357" s="7"/>
      <c r="L357" s="39">
        <v>796.44000000000051</v>
      </c>
      <c r="M357" s="26"/>
      <c r="N357" s="39">
        <f t="shared" si="62"/>
        <v>796.44000000000051</v>
      </c>
      <c r="O357" s="26"/>
      <c r="P357" s="7"/>
      <c r="Q357" s="39">
        <v>125.88</v>
      </c>
      <c r="R357" s="26"/>
      <c r="S357" s="39">
        <f t="shared" si="63"/>
        <v>670.56000000000051</v>
      </c>
      <c r="T357" s="6"/>
      <c r="U357" s="6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25" customHeight="1">
      <c r="A358" s="234" t="s">
        <v>396</v>
      </c>
      <c r="B358" s="7" t="s">
        <v>94</v>
      </c>
      <c r="C358" s="271" t="s">
        <v>417</v>
      </c>
      <c r="D358" s="54"/>
      <c r="E358" s="7"/>
      <c r="F358" s="19">
        <v>0</v>
      </c>
      <c r="G358" s="56"/>
      <c r="H358" s="7"/>
      <c r="I358" s="19"/>
      <c r="J358" s="26"/>
      <c r="K358" s="7"/>
      <c r="L358" s="39">
        <v>2278.380000000001</v>
      </c>
      <c r="M358" s="26"/>
      <c r="N358" s="39">
        <f t="shared" si="62"/>
        <v>2278.380000000001</v>
      </c>
      <c r="O358" s="26"/>
      <c r="P358" s="7"/>
      <c r="Q358" s="39">
        <v>0</v>
      </c>
      <c r="R358" s="26"/>
      <c r="S358" s="39">
        <f t="shared" si="63"/>
        <v>2278.380000000001</v>
      </c>
      <c r="T358" s="6"/>
      <c r="U358" s="6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25" hidden="1" customHeight="1" thickTop="1">
      <c r="A359" s="234" t="s">
        <v>396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/>
      <c r="J359" s="26"/>
      <c r="K359" s="7"/>
      <c r="L359" s="39">
        <v>0</v>
      </c>
      <c r="M359" s="26"/>
      <c r="N359" s="39">
        <f t="shared" si="62"/>
        <v>0</v>
      </c>
      <c r="O359" s="26"/>
      <c r="P359" s="7"/>
      <c r="Q359" s="39">
        <v>0</v>
      </c>
      <c r="R359" s="26"/>
      <c r="S359" s="39">
        <f t="shared" si="63"/>
        <v>0</v>
      </c>
      <c r="T359" s="6"/>
      <c r="U359" s="6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25" hidden="1" customHeight="1" thickBot="1">
      <c r="A360" s="234" t="s">
        <v>396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/>
      <c r="J360" s="26"/>
      <c r="K360" s="7"/>
      <c r="L360" s="39">
        <v>0</v>
      </c>
      <c r="M360" s="26"/>
      <c r="N360" s="39">
        <f t="shared" si="62"/>
        <v>0</v>
      </c>
      <c r="O360" s="26"/>
      <c r="P360" s="7"/>
      <c r="Q360" s="39">
        <v>0</v>
      </c>
      <c r="R360" s="26"/>
      <c r="S360" s="39">
        <f t="shared" si="63"/>
        <v>0</v>
      </c>
      <c r="T360" s="6"/>
      <c r="U360" s="6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" customHeight="1">
      <c r="A361" s="234"/>
      <c r="B361" s="7"/>
      <c r="C361" s="139" t="s">
        <v>63</v>
      </c>
      <c r="D361" s="62" t="s">
        <v>38</v>
      </c>
      <c r="E361" s="63" t="e">
        <f>F361/F$318</f>
        <v>#DIV/0!</v>
      </c>
      <c r="F361" s="64">
        <f>+SUM(F343:F360)</f>
        <v>0</v>
      </c>
      <c r="G361" s="65"/>
      <c r="H361" s="63"/>
      <c r="I361" s="64"/>
      <c r="J361" s="65" t="s">
        <v>38</v>
      </c>
      <c r="K361" s="63">
        <f>L361/L$326</f>
        <v>0.14968613327869268</v>
      </c>
      <c r="L361" s="64">
        <f>+SUM(L343:L360)</f>
        <v>13237.109999999991</v>
      </c>
      <c r="M361" s="66"/>
      <c r="N361" s="64">
        <f>+SUM(N343:N360)</f>
        <v>13237.109999999991</v>
      </c>
      <c r="O361" s="65" t="s">
        <v>38</v>
      </c>
      <c r="P361" s="63">
        <f>Q361/Q$326</f>
        <v>0.34403431761652525</v>
      </c>
      <c r="Q361" s="64">
        <f>+SUM(Q343:Q360)</f>
        <v>25970.380000000005</v>
      </c>
      <c r="R361" s="67"/>
      <c r="S361" s="64">
        <f t="shared" si="63"/>
        <v>-12733.270000000013</v>
      </c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381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" customHeight="1">
      <c r="A363" s="234"/>
      <c r="B363" s="7"/>
      <c r="C363" s="139" t="s">
        <v>64</v>
      </c>
      <c r="D363" s="62" t="s">
        <v>38</v>
      </c>
      <c r="E363" s="63" t="e">
        <f>F363/F$318</f>
        <v>#DIV/0!</v>
      </c>
      <c r="F363" s="64">
        <f>F342+F361</f>
        <v>0</v>
      </c>
      <c r="G363" s="65"/>
      <c r="H363" s="63"/>
      <c r="I363" s="64"/>
      <c r="J363" s="65" t="s">
        <v>38</v>
      </c>
      <c r="K363" s="63">
        <f>L363/L$326</f>
        <v>0.55941405665160893</v>
      </c>
      <c r="L363" s="64">
        <f>L342+L361</f>
        <v>49470.35</v>
      </c>
      <c r="M363" s="66"/>
      <c r="N363" s="64">
        <f t="shared" ref="N363:N365" si="64">L363-F363</f>
        <v>49470.35</v>
      </c>
      <c r="O363" s="65" t="s">
        <v>38</v>
      </c>
      <c r="P363" s="63">
        <f>Q363/Q$326</f>
        <v>0.86724774983388153</v>
      </c>
      <c r="Q363" s="64">
        <f>Q342+Q361</f>
        <v>65466.590000000018</v>
      </c>
      <c r="R363" s="67"/>
      <c r="S363" s="64">
        <f>L363-Q363</f>
        <v>-15996.24000000002</v>
      </c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 t="shared" si="64"/>
        <v>0</v>
      </c>
      <c r="O364" s="26"/>
      <c r="P364" s="7"/>
      <c r="Q364" s="39"/>
      <c r="R364" s="26"/>
      <c r="S364" s="39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" customHeight="1" thickBot="1">
      <c r="A365" s="234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/>
      <c r="J365" s="279"/>
      <c r="K365" s="278"/>
      <c r="L365" s="138">
        <f>L326-L363</f>
        <v>38962.089999999989</v>
      </c>
      <c r="M365" s="280"/>
      <c r="N365" s="138">
        <f t="shared" si="64"/>
        <v>38962.089999999989</v>
      </c>
      <c r="O365" s="279"/>
      <c r="P365" s="278"/>
      <c r="Q365" s="138">
        <f>Q326-Q363</f>
        <v>10021.169999999904</v>
      </c>
      <c r="R365" s="281"/>
      <c r="S365" s="138">
        <f>L365-Q365</f>
        <v>28940.920000000086</v>
      </c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429" t="str">
        <f>C1</f>
        <v>Ste-Marie Auto</v>
      </c>
      <c r="D367" s="430"/>
      <c r="E367" s="431"/>
      <c r="F367" s="430"/>
      <c r="G367" s="430"/>
      <c r="H367" s="429"/>
      <c r="I367" s="430"/>
      <c r="J367" s="429"/>
      <c r="K367" s="432" t="s">
        <v>98</v>
      </c>
      <c r="L367" s="430"/>
      <c r="M367" s="430"/>
      <c r="N367" s="433"/>
      <c r="O367" s="429"/>
      <c r="P367" s="430"/>
      <c r="Q367" s="429"/>
      <c r="R367" s="430"/>
      <c r="S367" s="434" t="str">
        <f>$S$1</f>
        <v>Réalisé, Septembre 2026</v>
      </c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426" t="s">
        <v>5</v>
      </c>
      <c r="E369" s="427"/>
      <c r="F369" s="425"/>
      <c r="G369" s="424"/>
      <c r="H369" s="427"/>
      <c r="I369" s="425"/>
      <c r="J369" s="424" t="s">
        <v>7</v>
      </c>
      <c r="K369" s="427"/>
      <c r="L369" s="425"/>
      <c r="M369" s="424" t="s">
        <v>210</v>
      </c>
      <c r="N369" s="425"/>
      <c r="O369" s="426" t="s">
        <v>8</v>
      </c>
      <c r="P369" s="427"/>
      <c r="Q369" s="425"/>
      <c r="R369" s="424" t="s">
        <v>211</v>
      </c>
      <c r="S369" s="425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34" t="s">
        <v>98</v>
      </c>
      <c r="B370" s="7" t="s">
        <v>98</v>
      </c>
      <c r="C370" s="445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214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34" t="s">
        <v>418</v>
      </c>
      <c r="B371" s="7" t="s">
        <v>98</v>
      </c>
      <c r="C371" s="446" t="s">
        <v>100</v>
      </c>
      <c r="D371" s="55">
        <v>0</v>
      </c>
      <c r="E371" s="93">
        <f t="shared" ref="E371:E379" si="65">IF(D371=0,0,F371/D371)</f>
        <v>0</v>
      </c>
      <c r="F371" s="39">
        <v>0</v>
      </c>
      <c r="G371" s="55"/>
      <c r="H371" s="93"/>
      <c r="I371" s="39"/>
      <c r="J371" s="55">
        <v>59494.549999999988</v>
      </c>
      <c r="K371" s="93">
        <f t="shared" ref="K371:K380" si="66">IF(J371&lt;=0,0,L371/J371)</f>
        <v>0.34534205233924747</v>
      </c>
      <c r="L371" s="39">
        <v>20545.969999999972</v>
      </c>
      <c r="M371" s="99" t="e">
        <f t="shared" ref="M371:M377" si="67">(+J371-D371)/D371</f>
        <v>#DIV/0!</v>
      </c>
      <c r="N371" s="39">
        <f t="shared" ref="N371:N380" si="68">L371-F371</f>
        <v>20545.969999999972</v>
      </c>
      <c r="O371" s="55">
        <v>54282.650000000023</v>
      </c>
      <c r="P371" s="93">
        <f t="shared" ref="P371:P380" si="69">IF(O371&lt;=0,0,Q371/O371)</f>
        <v>0.40148961040037717</v>
      </c>
      <c r="Q371" s="39">
        <v>21793.920000000042</v>
      </c>
      <c r="R371" s="99">
        <f t="shared" ref="R371:R380" si="70">IF(O371=0,0,(J371-O371)/O371)</f>
        <v>9.601410395402514E-2</v>
      </c>
      <c r="S371" s="39">
        <f t="shared" ref="S371:S380" si="71">L371-Q371</f>
        <v>-1247.9500000000698</v>
      </c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34" t="s">
        <v>419</v>
      </c>
      <c r="B372" s="7" t="s">
        <v>98</v>
      </c>
      <c r="C372" s="446" t="s">
        <v>101</v>
      </c>
      <c r="D372" s="55">
        <v>0</v>
      </c>
      <c r="E372" s="93">
        <f t="shared" si="65"/>
        <v>0</v>
      </c>
      <c r="F372" s="39">
        <v>0</v>
      </c>
      <c r="G372" s="55"/>
      <c r="H372" s="93"/>
      <c r="I372" s="39"/>
      <c r="J372" s="55">
        <v>0</v>
      </c>
      <c r="K372" s="93">
        <f t="shared" si="66"/>
        <v>0</v>
      </c>
      <c r="L372" s="39">
        <v>0</v>
      </c>
      <c r="M372" s="99" t="e">
        <f t="shared" si="67"/>
        <v>#DIV/0!</v>
      </c>
      <c r="N372" s="39">
        <f t="shared" si="68"/>
        <v>0</v>
      </c>
      <c r="O372" s="55">
        <v>0</v>
      </c>
      <c r="P372" s="93">
        <f t="shared" si="69"/>
        <v>0</v>
      </c>
      <c r="Q372" s="39">
        <v>0</v>
      </c>
      <c r="R372" s="99">
        <f t="shared" si="70"/>
        <v>0</v>
      </c>
      <c r="S372" s="39">
        <f t="shared" si="71"/>
        <v>0</v>
      </c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34" t="s">
        <v>420</v>
      </c>
      <c r="B373" s="7" t="s">
        <v>98</v>
      </c>
      <c r="C373" s="446" t="s">
        <v>102</v>
      </c>
      <c r="D373" s="55">
        <v>0</v>
      </c>
      <c r="E373" s="93">
        <f t="shared" si="65"/>
        <v>0</v>
      </c>
      <c r="F373" s="39">
        <v>0</v>
      </c>
      <c r="G373" s="55"/>
      <c r="H373" s="93"/>
      <c r="I373" s="39"/>
      <c r="J373" s="55">
        <v>41863.679999999993</v>
      </c>
      <c r="K373" s="93">
        <f t="shared" si="66"/>
        <v>0.28743101418699901</v>
      </c>
      <c r="L373" s="39">
        <v>12032.919999999984</v>
      </c>
      <c r="M373" s="99" t="e">
        <f t="shared" si="67"/>
        <v>#DIV/0!</v>
      </c>
      <c r="N373" s="39">
        <f t="shared" si="68"/>
        <v>12032.919999999984</v>
      </c>
      <c r="O373" s="55">
        <v>74831.27999999997</v>
      </c>
      <c r="P373" s="93">
        <f t="shared" si="69"/>
        <v>0.25960440607189905</v>
      </c>
      <c r="Q373" s="39">
        <v>19426.52999999997</v>
      </c>
      <c r="R373" s="99">
        <f t="shared" si="70"/>
        <v>-0.44055908171021518</v>
      </c>
      <c r="S373" s="39">
        <f t="shared" si="71"/>
        <v>-7393.609999999986</v>
      </c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34" t="s">
        <v>421</v>
      </c>
      <c r="B374" s="7" t="s">
        <v>98</v>
      </c>
      <c r="C374" s="446" t="s">
        <v>103</v>
      </c>
      <c r="D374" s="55">
        <v>0</v>
      </c>
      <c r="E374" s="93">
        <f t="shared" si="65"/>
        <v>0</v>
      </c>
      <c r="F374" s="39">
        <v>0</v>
      </c>
      <c r="G374" s="55"/>
      <c r="H374" s="93"/>
      <c r="I374" s="39"/>
      <c r="J374" s="55">
        <v>40465.419999999984</v>
      </c>
      <c r="K374" s="93">
        <f t="shared" si="66"/>
        <v>0.28252493116344757</v>
      </c>
      <c r="L374" s="39">
        <v>11432.489999999991</v>
      </c>
      <c r="M374" s="99" t="e">
        <f t="shared" si="67"/>
        <v>#DIV/0!</v>
      </c>
      <c r="N374" s="39">
        <f t="shared" si="68"/>
        <v>11432.489999999991</v>
      </c>
      <c r="O374" s="55">
        <v>46742.559999999998</v>
      </c>
      <c r="P374" s="93">
        <f t="shared" si="69"/>
        <v>0.28256817769501757</v>
      </c>
      <c r="Q374" s="39">
        <v>13207.960000000021</v>
      </c>
      <c r="R374" s="99">
        <f t="shared" si="70"/>
        <v>-0.13429174610889977</v>
      </c>
      <c r="S374" s="39">
        <f t="shared" si="71"/>
        <v>-1775.4700000000303</v>
      </c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34" t="s">
        <v>422</v>
      </c>
      <c r="B375" s="7" t="s">
        <v>98</v>
      </c>
      <c r="C375" s="446" t="s">
        <v>104</v>
      </c>
      <c r="D375" s="55">
        <v>0</v>
      </c>
      <c r="E375" s="93">
        <f t="shared" si="65"/>
        <v>0</v>
      </c>
      <c r="F375" s="39">
        <v>0</v>
      </c>
      <c r="G375" s="55"/>
      <c r="H375" s="93"/>
      <c r="I375" s="39"/>
      <c r="J375" s="55">
        <v>31930.489999999991</v>
      </c>
      <c r="K375" s="93">
        <f t="shared" si="66"/>
        <v>0.2372948238501813</v>
      </c>
      <c r="L375" s="39">
        <v>7576.9399999999732</v>
      </c>
      <c r="M375" s="99" t="e">
        <f t="shared" si="67"/>
        <v>#DIV/0!</v>
      </c>
      <c r="N375" s="39">
        <f t="shared" si="68"/>
        <v>7576.9399999999732</v>
      </c>
      <c r="O375" s="55">
        <v>29061.130000000005</v>
      </c>
      <c r="P375" s="93">
        <f t="shared" si="69"/>
        <v>0.27300314887962124</v>
      </c>
      <c r="Q375" s="39">
        <v>7933.7800000000279</v>
      </c>
      <c r="R375" s="99">
        <f t="shared" si="70"/>
        <v>9.873532102846605E-2</v>
      </c>
      <c r="S375" s="39">
        <f t="shared" si="71"/>
        <v>-356.84000000005472</v>
      </c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34" t="s">
        <v>423</v>
      </c>
      <c r="B376" s="7" t="s">
        <v>98</v>
      </c>
      <c r="C376" s="446" t="s">
        <v>105</v>
      </c>
      <c r="D376" s="55">
        <v>0</v>
      </c>
      <c r="E376" s="93">
        <f t="shared" si="65"/>
        <v>0</v>
      </c>
      <c r="F376" s="39">
        <v>0</v>
      </c>
      <c r="G376" s="55"/>
      <c r="H376" s="93"/>
      <c r="I376" s="39"/>
      <c r="J376" s="55">
        <v>147838.78000000003</v>
      </c>
      <c r="K376" s="93">
        <f t="shared" si="66"/>
        <v>0.20026923923479381</v>
      </c>
      <c r="L376" s="39">
        <v>29607.560000000056</v>
      </c>
      <c r="M376" s="99" t="e">
        <f t="shared" si="67"/>
        <v>#DIV/0!</v>
      </c>
      <c r="N376" s="39">
        <f t="shared" si="68"/>
        <v>29607.560000000056</v>
      </c>
      <c r="O376" s="55">
        <v>193176.41999999993</v>
      </c>
      <c r="P376" s="93">
        <f t="shared" si="69"/>
        <v>0.22594149948528836</v>
      </c>
      <c r="Q376" s="39">
        <v>43646.569999999832</v>
      </c>
      <c r="R376" s="99">
        <f t="shared" si="70"/>
        <v>-0.23469551822111578</v>
      </c>
      <c r="S376" s="39">
        <f t="shared" si="71"/>
        <v>-14039.009999999776</v>
      </c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25" hidden="1" customHeight="1">
      <c r="A377" s="234" t="s">
        <v>424</v>
      </c>
      <c r="B377" s="7" t="s">
        <v>98</v>
      </c>
      <c r="C377" s="446" t="s">
        <v>19</v>
      </c>
      <c r="D377" s="55">
        <v>0</v>
      </c>
      <c r="E377" s="93">
        <f t="shared" si="65"/>
        <v>0</v>
      </c>
      <c r="F377" s="39">
        <v>0</v>
      </c>
      <c r="G377" s="55"/>
      <c r="H377" s="93"/>
      <c r="I377" s="39"/>
      <c r="J377" s="55">
        <v>0</v>
      </c>
      <c r="K377" s="93">
        <f t="shared" si="66"/>
        <v>0</v>
      </c>
      <c r="L377" s="39">
        <v>0</v>
      </c>
      <c r="M377" s="99" t="e">
        <f t="shared" si="67"/>
        <v>#DIV/0!</v>
      </c>
      <c r="N377" s="39">
        <f t="shared" si="68"/>
        <v>0</v>
      </c>
      <c r="O377" s="55">
        <v>0</v>
      </c>
      <c r="P377" s="93">
        <f t="shared" si="69"/>
        <v>0</v>
      </c>
      <c r="Q377" s="39">
        <v>0</v>
      </c>
      <c r="R377" s="99">
        <f t="shared" si="70"/>
        <v>0</v>
      </c>
      <c r="S377" s="39">
        <f t="shared" si="71"/>
        <v>0</v>
      </c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34" t="s">
        <v>425</v>
      </c>
      <c r="B378" s="7" t="s">
        <v>98</v>
      </c>
      <c r="C378" s="446" t="s">
        <v>106</v>
      </c>
      <c r="D378" s="55">
        <v>0</v>
      </c>
      <c r="E378" s="93">
        <f t="shared" si="65"/>
        <v>0</v>
      </c>
      <c r="F378" s="39">
        <v>0</v>
      </c>
      <c r="G378" s="55"/>
      <c r="H378" s="93"/>
      <c r="I378" s="39"/>
      <c r="J378" s="55">
        <v>0</v>
      </c>
      <c r="K378" s="93">
        <f t="shared" si="66"/>
        <v>0</v>
      </c>
      <c r="L378" s="39">
        <v>4588.9700000000012</v>
      </c>
      <c r="M378" s="99"/>
      <c r="N378" s="39">
        <f t="shared" si="68"/>
        <v>4588.9700000000012</v>
      </c>
      <c r="O378" s="55">
        <v>0</v>
      </c>
      <c r="P378" s="93">
        <f t="shared" si="69"/>
        <v>0</v>
      </c>
      <c r="Q378" s="39">
        <v>3667.8800000000047</v>
      </c>
      <c r="R378" s="99">
        <f t="shared" si="70"/>
        <v>0</v>
      </c>
      <c r="S378" s="39">
        <f t="shared" si="71"/>
        <v>921.08999999999651</v>
      </c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34" t="s">
        <v>426</v>
      </c>
      <c r="B379" s="7" t="s">
        <v>98</v>
      </c>
      <c r="C379" s="447" t="s">
        <v>107</v>
      </c>
      <c r="D379" s="55">
        <v>0</v>
      </c>
      <c r="E379" s="93">
        <f t="shared" si="65"/>
        <v>0</v>
      </c>
      <c r="F379" s="39">
        <v>0</v>
      </c>
      <c r="G379" s="55"/>
      <c r="H379" s="93"/>
      <c r="I379" s="39"/>
      <c r="J379" s="55">
        <v>0</v>
      </c>
      <c r="K379" s="93">
        <f t="shared" si="66"/>
        <v>0</v>
      </c>
      <c r="L379" s="39">
        <v>3276.6499999999996</v>
      </c>
      <c r="M379" s="99"/>
      <c r="N379" s="39">
        <f t="shared" si="68"/>
        <v>3276.6499999999996</v>
      </c>
      <c r="O379" s="55">
        <v>0</v>
      </c>
      <c r="P379" s="93">
        <f t="shared" si="69"/>
        <v>0</v>
      </c>
      <c r="Q379" s="39">
        <v>744.02999999999884</v>
      </c>
      <c r="R379" s="99">
        <f t="shared" si="70"/>
        <v>0</v>
      </c>
      <c r="S379" s="39">
        <f t="shared" si="71"/>
        <v>2532.6200000000008</v>
      </c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34" t="s">
        <v>427</v>
      </c>
      <c r="B380" s="7" t="s">
        <v>98</v>
      </c>
      <c r="C380" s="448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/>
      <c r="H380" s="133"/>
      <c r="I380" s="123"/>
      <c r="J380" s="122">
        <f>SUM(J371:J379)</f>
        <v>321592.92</v>
      </c>
      <c r="K380" s="133">
        <f t="shared" si="66"/>
        <v>0.27693862165871058</v>
      </c>
      <c r="L380" s="123">
        <f>SUM(L371:L379)</f>
        <v>89061.499999999971</v>
      </c>
      <c r="M380" s="134" t="e">
        <f>(+J380-D380)/D380</f>
        <v>#DIV/0!</v>
      </c>
      <c r="N380" s="123">
        <f t="shared" si="68"/>
        <v>89061.499999999971</v>
      </c>
      <c r="O380" s="122">
        <f>SUM(O371:O379)</f>
        <v>398094.03999999992</v>
      </c>
      <c r="P380" s="133">
        <f t="shared" si="69"/>
        <v>0.27737333118576685</v>
      </c>
      <c r="Q380" s="123">
        <f>SUM(Q371:Q379)</f>
        <v>110420.6699999999</v>
      </c>
      <c r="R380" s="134">
        <f t="shared" si="70"/>
        <v>-0.19216846351178721</v>
      </c>
      <c r="S380" s="123">
        <f t="shared" si="71"/>
        <v>-21359.169999999925</v>
      </c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34" t="s">
        <v>98</v>
      </c>
      <c r="B381" s="7" t="s">
        <v>98</v>
      </c>
      <c r="C381" s="446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-0.19343452634366323</v>
      </c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34" t="s">
        <v>98</v>
      </c>
      <c r="B382" s="7" t="s">
        <v>98</v>
      </c>
      <c r="C382" s="447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34" t="s">
        <v>428</v>
      </c>
      <c r="B383" s="7" t="s">
        <v>98</v>
      </c>
      <c r="C383" s="446" t="s">
        <v>109</v>
      </c>
      <c r="D383" s="55">
        <v>0</v>
      </c>
      <c r="E383" s="93">
        <f t="shared" ref="E383:E384" si="72">IF(D383=0,0,F383/D383)</f>
        <v>0</v>
      </c>
      <c r="F383" s="72">
        <v>0</v>
      </c>
      <c r="G383" s="55"/>
      <c r="H383" s="93"/>
      <c r="I383" s="72"/>
      <c r="J383" s="55">
        <v>39663.960000000021</v>
      </c>
      <c r="K383" s="93">
        <f t="shared" ref="K383:K385" si="73">IF(J383&lt;=0,0,L383/J383)</f>
        <v>8.6316141908170843E-2</v>
      </c>
      <c r="L383" s="72">
        <v>3423.640000000014</v>
      </c>
      <c r="M383" s="99" t="e">
        <f t="shared" ref="M383:M385" si="74">(+J383-D383)/D383</f>
        <v>#DIV/0!</v>
      </c>
      <c r="N383" s="39">
        <f t="shared" ref="N383:N385" si="75">L383-F383</f>
        <v>3423.640000000014</v>
      </c>
      <c r="O383" s="55">
        <v>20398.25</v>
      </c>
      <c r="P383" s="93">
        <f t="shared" ref="P383:P385" si="76">IF(O383&lt;=0,0,Q383/O383)</f>
        <v>0.10841714362751727</v>
      </c>
      <c r="Q383" s="72">
        <v>2211.5200000000041</v>
      </c>
      <c r="R383" s="99">
        <f t="shared" ref="R383:R385" si="77">IF(O383=0,0,(J383-O383)/O383)</f>
        <v>0.94447857046560468</v>
      </c>
      <c r="S383" s="39">
        <f t="shared" ref="S383:S385" si="78">L383-Q383</f>
        <v>1212.1200000000099</v>
      </c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34" t="s">
        <v>429</v>
      </c>
      <c r="B384" s="7" t="s">
        <v>98</v>
      </c>
      <c r="C384" s="447" t="s">
        <v>110</v>
      </c>
      <c r="D384" s="55">
        <v>0</v>
      </c>
      <c r="E384" s="93">
        <f t="shared" si="72"/>
        <v>0</v>
      </c>
      <c r="F384" s="61">
        <v>0</v>
      </c>
      <c r="G384" s="55"/>
      <c r="H384" s="93"/>
      <c r="I384" s="61"/>
      <c r="J384" s="55">
        <v>13522.300000000003</v>
      </c>
      <c r="K384" s="93">
        <f t="shared" si="73"/>
        <v>0.23947553300843855</v>
      </c>
      <c r="L384" s="61">
        <v>3238.2600000000093</v>
      </c>
      <c r="M384" s="99" t="e">
        <f t="shared" si="74"/>
        <v>#DIV/0!</v>
      </c>
      <c r="N384" s="39">
        <f t="shared" si="75"/>
        <v>3238.2600000000093</v>
      </c>
      <c r="O384" s="55">
        <v>12049.909999999996</v>
      </c>
      <c r="P384" s="93">
        <f t="shared" si="76"/>
        <v>0.28795484779554331</v>
      </c>
      <c r="Q384" s="61">
        <v>3469.8299999999945</v>
      </c>
      <c r="R384" s="99">
        <f t="shared" si="77"/>
        <v>0.12219095412330939</v>
      </c>
      <c r="S384" s="39">
        <f t="shared" si="78"/>
        <v>-231.56999999998516</v>
      </c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34" t="s">
        <v>430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/>
      <c r="H385" s="133"/>
      <c r="I385" s="123"/>
      <c r="J385" s="124">
        <f>J380+J383+J384</f>
        <v>374779.18</v>
      </c>
      <c r="K385" s="133">
        <f t="shared" si="73"/>
        <v>0.25541280067905586</v>
      </c>
      <c r="L385" s="123">
        <f>L380+L383+L384</f>
        <v>95723.4</v>
      </c>
      <c r="M385" s="134" t="e">
        <f t="shared" si="74"/>
        <v>#DIV/0!</v>
      </c>
      <c r="N385" s="123">
        <f t="shared" si="75"/>
        <v>95723.4</v>
      </c>
      <c r="O385" s="124">
        <f>O380+O383+O384</f>
        <v>430542.1999999999</v>
      </c>
      <c r="P385" s="133">
        <f t="shared" si="76"/>
        <v>0.26966466934019462</v>
      </c>
      <c r="Q385" s="123">
        <f>Q380+Q383+Q384</f>
        <v>116102.0199999999</v>
      </c>
      <c r="R385" s="134">
        <f t="shared" si="77"/>
        <v>-0.12951812853652886</v>
      </c>
      <c r="S385" s="123">
        <f t="shared" si="78"/>
        <v>-20378.619999999908</v>
      </c>
      <c r="T385" s="6"/>
      <c r="U385" s="9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34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-0.17552338882648144</v>
      </c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34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25" hidden="1" customHeight="1">
      <c r="A388" s="234" t="s">
        <v>431</v>
      </c>
      <c r="B388" s="7" t="s">
        <v>98</v>
      </c>
      <c r="C388" s="14" t="s">
        <v>112</v>
      </c>
      <c r="D388" s="58">
        <v>0</v>
      </c>
      <c r="E388" s="136">
        <f>IF(D388=0,0,F388/D388)</f>
        <v>0</v>
      </c>
      <c r="F388" s="61">
        <v>0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>
        <f>IF(F388=0,0,(+L388-F388)/F388)</f>
        <v>0</v>
      </c>
      <c r="N388" s="61">
        <f>L388-F388</f>
        <v>0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6"/>
      <c r="U388" s="9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34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34" t="s">
        <v>432</v>
      </c>
      <c r="B390" s="7" t="s">
        <v>98</v>
      </c>
      <c r="C390" s="264" t="s">
        <v>113</v>
      </c>
      <c r="D390" s="41">
        <f>D385+D388</f>
        <v>0</v>
      </c>
      <c r="E390" s="42">
        <f>IF(D390&lt;=0,0,F390/D390)</f>
        <v>0</v>
      </c>
      <c r="F390" s="43">
        <f>F385+F388</f>
        <v>0</v>
      </c>
      <c r="G390" s="44"/>
      <c r="H390" s="42"/>
      <c r="I390" s="43"/>
      <c r="J390" s="44">
        <f>J385+J388</f>
        <v>374779.18</v>
      </c>
      <c r="K390" s="137">
        <f>IF(J390&lt;=0,0,L390/J390)</f>
        <v>0.25541280067905586</v>
      </c>
      <c r="L390" s="43">
        <f>L385+L388</f>
        <v>95723.4</v>
      </c>
      <c r="M390" s="44" t="e">
        <f>(+J390-D390)/D390</f>
        <v>#DIV/0!</v>
      </c>
      <c r="N390" s="43">
        <f>L390-F390</f>
        <v>95723.4</v>
      </c>
      <c r="O390" s="44">
        <f>O385+O388</f>
        <v>430542.1999999999</v>
      </c>
      <c r="P390" s="137">
        <f>IF(O390&lt;=0,0,Q390/O390)</f>
        <v>0.26966466934019462</v>
      </c>
      <c r="Q390" s="43">
        <f>Q385+Q388</f>
        <v>116102.0199999999</v>
      </c>
      <c r="R390" s="129">
        <f>IF(O390=0,0,(J390-O390)/O390)</f>
        <v>-0.12951812853652886</v>
      </c>
      <c r="S390" s="43">
        <f>L390-Q390</f>
        <v>-20378.619999999908</v>
      </c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34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435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-0.17552338882648144</v>
      </c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34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34" t="s">
        <v>433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34" t="s">
        <v>434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/>
      <c r="J394" s="26"/>
      <c r="K394" s="7"/>
      <c r="L394" s="39">
        <v>8144.25</v>
      </c>
      <c r="M394" s="26"/>
      <c r="N394" s="21">
        <f t="shared" ref="N394:N424" si="79">L394-F394</f>
        <v>8144.25</v>
      </c>
      <c r="O394" s="26"/>
      <c r="P394" s="7"/>
      <c r="Q394" s="39">
        <v>-3302.119999999999</v>
      </c>
      <c r="R394" s="26"/>
      <c r="S394" s="39">
        <f t="shared" ref="S394:S424" si="80">L394-Q394</f>
        <v>11446.369999999999</v>
      </c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34" t="s">
        <v>435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/>
      <c r="J395" s="26"/>
      <c r="K395" s="7"/>
      <c r="L395" s="39">
        <v>2587.0600000000013</v>
      </c>
      <c r="M395" s="26"/>
      <c r="N395" s="21">
        <f t="shared" si="79"/>
        <v>2587.0600000000013</v>
      </c>
      <c r="O395" s="26"/>
      <c r="P395" s="7"/>
      <c r="Q395" s="39">
        <v>3258.5399999999972</v>
      </c>
      <c r="R395" s="26"/>
      <c r="S395" s="39">
        <f t="shared" si="80"/>
        <v>-671.47999999999593</v>
      </c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34" t="s">
        <v>436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/>
      <c r="J396" s="71"/>
      <c r="K396" s="69"/>
      <c r="L396" s="72">
        <v>14535.920000000013</v>
      </c>
      <c r="M396" s="71"/>
      <c r="N396" s="36">
        <f t="shared" si="79"/>
        <v>14535.920000000013</v>
      </c>
      <c r="O396" s="71"/>
      <c r="P396" s="69"/>
      <c r="Q396" s="72">
        <v>21239.360000000015</v>
      </c>
      <c r="R396" s="71"/>
      <c r="S396" s="72">
        <f t="shared" si="80"/>
        <v>-6703.4400000000023</v>
      </c>
      <c r="T396" s="6"/>
      <c r="U396" s="385"/>
      <c r="V396" s="334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25" hidden="1" customHeight="1">
      <c r="A397" s="234" t="s">
        <v>437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/>
      <c r="J397" s="26"/>
      <c r="K397" s="7"/>
      <c r="L397" s="39">
        <v>0</v>
      </c>
      <c r="M397" s="26"/>
      <c r="N397" s="21">
        <f t="shared" si="79"/>
        <v>0</v>
      </c>
      <c r="O397" s="26"/>
      <c r="P397" s="7"/>
      <c r="Q397" s="39">
        <v>0</v>
      </c>
      <c r="R397" s="26"/>
      <c r="S397" s="39">
        <f t="shared" si="80"/>
        <v>0</v>
      </c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25" hidden="1" customHeight="1">
      <c r="A398" s="234" t="s">
        <v>424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/>
      <c r="J398" s="26"/>
      <c r="K398" s="7"/>
      <c r="L398" s="39">
        <v>0</v>
      </c>
      <c r="M398" s="26"/>
      <c r="N398" s="21">
        <f t="shared" si="79"/>
        <v>0</v>
      </c>
      <c r="O398" s="26"/>
      <c r="P398" s="7"/>
      <c r="Q398" s="39">
        <v>0</v>
      </c>
      <c r="R398" s="26"/>
      <c r="S398" s="39">
        <f t="shared" si="80"/>
        <v>0</v>
      </c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25" hidden="1" customHeight="1">
      <c r="A399" s="234" t="s">
        <v>424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/>
      <c r="J399" s="26"/>
      <c r="K399" s="7"/>
      <c r="L399" s="39">
        <v>0</v>
      </c>
      <c r="M399" s="26"/>
      <c r="N399" s="21">
        <f t="shared" si="79"/>
        <v>0</v>
      </c>
      <c r="O399" s="26"/>
      <c r="P399" s="7"/>
      <c r="Q399" s="39">
        <v>0</v>
      </c>
      <c r="R399" s="26"/>
      <c r="S399" s="39">
        <f t="shared" si="80"/>
        <v>0</v>
      </c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25" hidden="1" customHeight="1" thickTop="1" thickBot="1">
      <c r="A400" s="234" t="s">
        <v>424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/>
      <c r="J400" s="26"/>
      <c r="K400" s="7"/>
      <c r="L400" s="39">
        <v>0</v>
      </c>
      <c r="M400" s="26"/>
      <c r="N400" s="21">
        <f t="shared" si="79"/>
        <v>0</v>
      </c>
      <c r="O400" s="26"/>
      <c r="P400" s="7"/>
      <c r="Q400" s="39">
        <v>0</v>
      </c>
      <c r="R400" s="26"/>
      <c r="S400" s="39">
        <f t="shared" si="80"/>
        <v>0</v>
      </c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34" t="s">
        <v>438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/>
      <c r="J401" s="26"/>
      <c r="K401" s="7"/>
      <c r="L401" s="39">
        <v>2896.3600000000006</v>
      </c>
      <c r="M401" s="26"/>
      <c r="N401" s="21">
        <f t="shared" si="79"/>
        <v>2896.3600000000006</v>
      </c>
      <c r="O401" s="26"/>
      <c r="P401" s="7"/>
      <c r="Q401" s="39">
        <v>2683.9300000000003</v>
      </c>
      <c r="R401" s="26"/>
      <c r="S401" s="39">
        <f t="shared" si="80"/>
        <v>212.43000000000029</v>
      </c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34" t="s">
        <v>439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/>
      <c r="J402" s="71"/>
      <c r="K402" s="69"/>
      <c r="L402" s="72">
        <v>3067.4300000000003</v>
      </c>
      <c r="M402" s="71"/>
      <c r="N402" s="36">
        <f t="shared" si="79"/>
        <v>3067.4300000000003</v>
      </c>
      <c r="O402" s="71"/>
      <c r="P402" s="69"/>
      <c r="Q402" s="72">
        <v>2841.1700000000019</v>
      </c>
      <c r="R402" s="71"/>
      <c r="S402" s="72">
        <f t="shared" si="80"/>
        <v>226.2599999999984</v>
      </c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34" t="s">
        <v>440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/>
      <c r="J403" s="26"/>
      <c r="K403" s="7"/>
      <c r="L403" s="39">
        <v>1053.58</v>
      </c>
      <c r="M403" s="26"/>
      <c r="N403" s="21">
        <f t="shared" si="79"/>
        <v>1053.58</v>
      </c>
      <c r="O403" s="26"/>
      <c r="P403" s="7"/>
      <c r="Q403" s="39">
        <v>1458.3100000000013</v>
      </c>
      <c r="R403" s="26"/>
      <c r="S403" s="39">
        <f t="shared" si="80"/>
        <v>-404.73000000000138</v>
      </c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34" t="s">
        <v>441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/>
      <c r="J404" s="26"/>
      <c r="K404" s="7"/>
      <c r="L404" s="39">
        <v>1331.3399999999992</v>
      </c>
      <c r="M404" s="26"/>
      <c r="N404" s="21">
        <f t="shared" si="79"/>
        <v>1331.3399999999992</v>
      </c>
      <c r="O404" s="26"/>
      <c r="P404" s="7"/>
      <c r="Q404" s="39">
        <v>183.27999999999997</v>
      </c>
      <c r="R404" s="26"/>
      <c r="S404" s="39">
        <f t="shared" si="80"/>
        <v>1148.0599999999993</v>
      </c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25" hidden="1" customHeight="1" thickTop="1" thickBot="1">
      <c r="A405" s="234" t="s">
        <v>424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/>
      <c r="J405" s="14"/>
      <c r="K405" s="73"/>
      <c r="L405" s="39">
        <v>0</v>
      </c>
      <c r="M405" s="14"/>
      <c r="N405" s="61">
        <f t="shared" si="79"/>
        <v>0</v>
      </c>
      <c r="O405" s="14"/>
      <c r="P405" s="73"/>
      <c r="Q405" s="39">
        <v>0</v>
      </c>
      <c r="R405" s="14"/>
      <c r="S405" s="61">
        <f t="shared" si="80"/>
        <v>0</v>
      </c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" customHeight="1">
      <c r="A406" s="234" t="s">
        <v>442</v>
      </c>
      <c r="B406" s="7" t="s">
        <v>98</v>
      </c>
      <c r="C406" s="139" t="s">
        <v>48</v>
      </c>
      <c r="D406" s="62" t="s">
        <v>38</v>
      </c>
      <c r="E406" s="63" t="e">
        <f>F406/F$390</f>
        <v>#DIV/0!</v>
      </c>
      <c r="F406" s="64">
        <f>+SUM(F394:F405)</f>
        <v>0</v>
      </c>
      <c r="G406" s="65"/>
      <c r="H406" s="63"/>
      <c r="I406" s="64"/>
      <c r="J406" s="65" t="s">
        <v>38</v>
      </c>
      <c r="K406" s="63">
        <f>L406/L$390</f>
        <v>0.35117787291299735</v>
      </c>
      <c r="L406" s="64">
        <f>+SUM(L394:L405)</f>
        <v>33615.94000000001</v>
      </c>
      <c r="M406" s="66"/>
      <c r="N406" s="64">
        <f t="shared" si="79"/>
        <v>33615.94000000001</v>
      </c>
      <c r="O406" s="65" t="s">
        <v>38</v>
      </c>
      <c r="P406" s="63">
        <f>Q406/Q$390</f>
        <v>0.24428920358147119</v>
      </c>
      <c r="Q406" s="64">
        <f>+SUM(Q394:Q405)</f>
        <v>28362.470000000016</v>
      </c>
      <c r="R406" s="67"/>
      <c r="S406" s="64">
        <f t="shared" si="80"/>
        <v>5253.4699999999939</v>
      </c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34" t="s">
        <v>443</v>
      </c>
      <c r="B407" s="7" t="s">
        <v>98</v>
      </c>
      <c r="C407" s="329" t="s">
        <v>49</v>
      </c>
      <c r="D407" s="54"/>
      <c r="E407" s="7"/>
      <c r="F407" s="19">
        <v>0</v>
      </c>
      <c r="G407" s="56"/>
      <c r="H407" s="7"/>
      <c r="I407" s="19"/>
      <c r="J407" s="26"/>
      <c r="K407" s="7"/>
      <c r="L407" s="39">
        <v>1238.46</v>
      </c>
      <c r="M407" s="26"/>
      <c r="N407" s="39">
        <f t="shared" si="79"/>
        <v>1238.46</v>
      </c>
      <c r="O407" s="26"/>
      <c r="P407" s="7"/>
      <c r="Q407" s="39">
        <v>1774.4299999999989</v>
      </c>
      <c r="R407" s="26"/>
      <c r="S407" s="39">
        <f t="shared" si="80"/>
        <v>-535.96999999999889</v>
      </c>
      <c r="T407" s="6"/>
      <c r="U407" s="6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34" t="s">
        <v>444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/>
      <c r="J408" s="26"/>
      <c r="K408" s="7"/>
      <c r="L408" s="39">
        <v>0</v>
      </c>
      <c r="M408" s="26"/>
      <c r="N408" s="39">
        <f t="shared" si="79"/>
        <v>0</v>
      </c>
      <c r="O408" s="26"/>
      <c r="P408" s="7"/>
      <c r="Q408" s="39">
        <v>1040.5000000000002</v>
      </c>
      <c r="R408" s="26"/>
      <c r="S408" s="39">
        <f t="shared" si="80"/>
        <v>-1040.5000000000002</v>
      </c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34" t="s">
        <v>445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/>
      <c r="J409" s="14"/>
      <c r="K409" s="73"/>
      <c r="L409" s="61">
        <v>2297.9199999999983</v>
      </c>
      <c r="M409" s="14"/>
      <c r="N409" s="61">
        <f t="shared" si="79"/>
        <v>2297.9199999999983</v>
      </c>
      <c r="O409" s="14"/>
      <c r="P409" s="73"/>
      <c r="Q409" s="61">
        <v>2929.9399999999987</v>
      </c>
      <c r="R409" s="14"/>
      <c r="S409" s="61">
        <f t="shared" si="80"/>
        <v>-632.02000000000044</v>
      </c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34" t="s">
        <v>446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/>
      <c r="J410" s="26"/>
      <c r="K410" s="7"/>
      <c r="L410" s="39">
        <v>2108.6899999999987</v>
      </c>
      <c r="M410" s="26"/>
      <c r="N410" s="39">
        <f t="shared" si="79"/>
        <v>2108.6899999999987</v>
      </c>
      <c r="O410" s="26"/>
      <c r="P410" s="7"/>
      <c r="Q410" s="39">
        <v>1604.6599999999999</v>
      </c>
      <c r="R410" s="26"/>
      <c r="S410" s="39">
        <f t="shared" si="80"/>
        <v>504.02999999999884</v>
      </c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34" t="s">
        <v>447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/>
      <c r="J411" s="26"/>
      <c r="K411" s="7"/>
      <c r="L411" s="39">
        <v>-253.47999999999956</v>
      </c>
      <c r="M411" s="26"/>
      <c r="N411" s="39">
        <f t="shared" si="79"/>
        <v>-253.47999999999956</v>
      </c>
      <c r="O411" s="26"/>
      <c r="P411" s="7"/>
      <c r="Q411" s="39">
        <v>3239.5000000000009</v>
      </c>
      <c r="R411" s="26"/>
      <c r="S411" s="39">
        <f t="shared" si="80"/>
        <v>-3492.9800000000005</v>
      </c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34" t="s">
        <v>448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/>
      <c r="J412" s="14"/>
      <c r="K412" s="73"/>
      <c r="L412" s="61">
        <v>1426.7000000000007</v>
      </c>
      <c r="M412" s="14"/>
      <c r="N412" s="61">
        <f t="shared" si="79"/>
        <v>1426.7000000000007</v>
      </c>
      <c r="O412" s="14"/>
      <c r="P412" s="73"/>
      <c r="Q412" s="61">
        <v>2435.5899999999992</v>
      </c>
      <c r="R412" s="14"/>
      <c r="S412" s="61">
        <f t="shared" si="80"/>
        <v>-1008.8899999999985</v>
      </c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34" t="s">
        <v>449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79"/>
        <v>0</v>
      </c>
      <c r="O413" s="26"/>
      <c r="P413" s="7"/>
      <c r="Q413" s="39">
        <v>0</v>
      </c>
      <c r="R413" s="26"/>
      <c r="S413" s="39">
        <f t="shared" si="80"/>
        <v>0</v>
      </c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34" t="s">
        <v>450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/>
      <c r="J414" s="26"/>
      <c r="K414" s="7"/>
      <c r="L414" s="39">
        <v>383.69000000000005</v>
      </c>
      <c r="M414" s="26"/>
      <c r="N414" s="39">
        <f t="shared" si="79"/>
        <v>383.69000000000005</v>
      </c>
      <c r="O414" s="26"/>
      <c r="P414" s="7"/>
      <c r="Q414" s="39">
        <v>53.519999999999982</v>
      </c>
      <c r="R414" s="26"/>
      <c r="S414" s="39">
        <f t="shared" si="80"/>
        <v>330.17000000000007</v>
      </c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34" t="s">
        <v>451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/>
      <c r="J415" s="26"/>
      <c r="K415" s="7"/>
      <c r="L415" s="39">
        <v>0</v>
      </c>
      <c r="M415" s="26"/>
      <c r="N415" s="39">
        <f t="shared" si="79"/>
        <v>0</v>
      </c>
      <c r="O415" s="26"/>
      <c r="P415" s="7"/>
      <c r="Q415" s="39">
        <v>0</v>
      </c>
      <c r="R415" s="26"/>
      <c r="S415" s="39">
        <f t="shared" si="80"/>
        <v>0</v>
      </c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34" t="s">
        <v>452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/>
      <c r="J416" s="26"/>
      <c r="K416" s="7"/>
      <c r="L416" s="39">
        <v>77.309999999999945</v>
      </c>
      <c r="M416" s="26"/>
      <c r="N416" s="39">
        <f t="shared" si="79"/>
        <v>77.309999999999945</v>
      </c>
      <c r="O416" s="26"/>
      <c r="P416" s="7"/>
      <c r="Q416" s="39">
        <v>120.09999999999945</v>
      </c>
      <c r="R416" s="26"/>
      <c r="S416" s="39">
        <f t="shared" si="80"/>
        <v>-42.789999999999509</v>
      </c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34" t="s">
        <v>453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/>
      <c r="J417" s="26"/>
      <c r="K417" s="7"/>
      <c r="L417" s="39">
        <v>211.05999999999995</v>
      </c>
      <c r="M417" s="26"/>
      <c r="N417" s="39">
        <f t="shared" si="79"/>
        <v>211.05999999999995</v>
      </c>
      <c r="O417" s="26"/>
      <c r="P417" s="7"/>
      <c r="Q417" s="39">
        <v>52.639999999999873</v>
      </c>
      <c r="R417" s="26"/>
      <c r="S417" s="39">
        <f t="shared" si="80"/>
        <v>158.42000000000007</v>
      </c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34" t="s">
        <v>454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/>
      <c r="J418" s="26"/>
      <c r="K418" s="7"/>
      <c r="L418" s="39">
        <v>948.1200000000008</v>
      </c>
      <c r="M418" s="26"/>
      <c r="N418" s="39">
        <f t="shared" si="79"/>
        <v>948.1200000000008</v>
      </c>
      <c r="O418" s="26"/>
      <c r="P418" s="7"/>
      <c r="Q418" s="39">
        <v>661.85999999999967</v>
      </c>
      <c r="R418" s="26"/>
      <c r="S418" s="39">
        <f t="shared" si="80"/>
        <v>286.26000000000113</v>
      </c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34" t="s">
        <v>455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/>
      <c r="J419" s="26"/>
      <c r="K419" s="7"/>
      <c r="L419" s="39">
        <v>1290.06</v>
      </c>
      <c r="M419" s="26"/>
      <c r="N419" s="39">
        <f t="shared" si="79"/>
        <v>1290.06</v>
      </c>
      <c r="O419" s="26"/>
      <c r="P419" s="7"/>
      <c r="Q419" s="39">
        <v>1128.7699999999995</v>
      </c>
      <c r="R419" s="26"/>
      <c r="S419" s="39">
        <f t="shared" si="80"/>
        <v>161.29000000000042</v>
      </c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34" t="s">
        <v>456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/>
      <c r="J420" s="26"/>
      <c r="K420" s="7"/>
      <c r="L420" s="39">
        <v>0</v>
      </c>
      <c r="M420" s="26"/>
      <c r="N420" s="39">
        <f t="shared" si="79"/>
        <v>0</v>
      </c>
      <c r="O420" s="26"/>
      <c r="P420" s="7"/>
      <c r="Q420" s="39">
        <v>325</v>
      </c>
      <c r="R420" s="26"/>
      <c r="S420" s="39">
        <f t="shared" si="80"/>
        <v>-325</v>
      </c>
      <c r="T420" s="6"/>
      <c r="U420" s="6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34" t="s">
        <v>457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/>
      <c r="J421" s="26"/>
      <c r="K421" s="7"/>
      <c r="L421" s="39">
        <v>796.4399999999996</v>
      </c>
      <c r="M421" s="26"/>
      <c r="N421" s="39">
        <f t="shared" si="79"/>
        <v>796.4399999999996</v>
      </c>
      <c r="O421" s="26"/>
      <c r="P421" s="7"/>
      <c r="Q421" s="39">
        <v>125.85000000000002</v>
      </c>
      <c r="R421" s="26"/>
      <c r="S421" s="39">
        <f t="shared" si="80"/>
        <v>670.58999999999958</v>
      </c>
      <c r="T421" s="6"/>
      <c r="U421" s="6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25" hidden="1" customHeight="1">
      <c r="A422" s="234" t="s">
        <v>424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/>
      <c r="J422" s="26"/>
      <c r="K422" s="7"/>
      <c r="L422" s="39">
        <v>0</v>
      </c>
      <c r="M422" s="26"/>
      <c r="N422" s="39">
        <f t="shared" si="79"/>
        <v>0</v>
      </c>
      <c r="O422" s="26"/>
      <c r="P422" s="7"/>
      <c r="Q422" s="39">
        <v>0</v>
      </c>
      <c r="R422" s="26"/>
      <c r="S422" s="39">
        <f t="shared" si="80"/>
        <v>0</v>
      </c>
      <c r="T422" s="6"/>
      <c r="U422" s="6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25" hidden="1" customHeight="1">
      <c r="A423" s="234" t="s">
        <v>424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/>
      <c r="J423" s="26"/>
      <c r="K423" s="7"/>
      <c r="L423" s="39">
        <v>0</v>
      </c>
      <c r="M423" s="26"/>
      <c r="N423" s="39">
        <f t="shared" si="79"/>
        <v>0</v>
      </c>
      <c r="O423" s="26"/>
      <c r="P423" s="7"/>
      <c r="Q423" s="39">
        <v>0</v>
      </c>
      <c r="R423" s="26"/>
      <c r="S423" s="39">
        <f t="shared" si="80"/>
        <v>0</v>
      </c>
      <c r="T423" s="6"/>
      <c r="U423" s="6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25" hidden="1" customHeight="1">
      <c r="A424" s="234" t="s">
        <v>424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/>
      <c r="J424" s="26"/>
      <c r="K424" s="7"/>
      <c r="L424" s="39">
        <v>0</v>
      </c>
      <c r="M424" s="26"/>
      <c r="N424" s="39">
        <f t="shared" si="79"/>
        <v>0</v>
      </c>
      <c r="O424" s="26"/>
      <c r="P424" s="7"/>
      <c r="Q424" s="39">
        <v>0</v>
      </c>
      <c r="R424" s="26"/>
      <c r="S424" s="39">
        <f t="shared" si="80"/>
        <v>0</v>
      </c>
      <c r="T424" s="6"/>
      <c r="U424" s="6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" customHeight="1">
      <c r="A425" s="234"/>
      <c r="B425" s="7"/>
      <c r="C425" s="139" t="s">
        <v>63</v>
      </c>
      <c r="D425" s="62" t="s">
        <v>38</v>
      </c>
      <c r="E425" s="63" t="e">
        <f>F425/F$390</f>
        <v>#DIV/0!</v>
      </c>
      <c r="F425" s="64">
        <f>+SUM(F407:F424)</f>
        <v>0</v>
      </c>
      <c r="G425" s="65"/>
      <c r="H425" s="63"/>
      <c r="I425" s="64"/>
      <c r="J425" s="65" t="s">
        <v>38</v>
      </c>
      <c r="K425" s="63">
        <f>L425/L$390</f>
        <v>0.10995190308743732</v>
      </c>
      <c r="L425" s="64">
        <f>+SUM(L407:L424)</f>
        <v>10524.969999999998</v>
      </c>
      <c r="M425" s="66"/>
      <c r="N425" s="64">
        <f>+SUM(N407:N424)</f>
        <v>10524.969999999998</v>
      </c>
      <c r="O425" s="65" t="s">
        <v>38</v>
      </c>
      <c r="P425" s="63">
        <f>Q425/Q$390</f>
        <v>0.133437471630554</v>
      </c>
      <c r="Q425" s="64">
        <f>+SUM(Q407:Q424)</f>
        <v>15492.359999999999</v>
      </c>
      <c r="R425" s="67"/>
      <c r="S425" s="64">
        <f>+SUM(S407:S424)</f>
        <v>-4967.3899999999985</v>
      </c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" customHeight="1">
      <c r="A427" s="234"/>
      <c r="B427" s="7"/>
      <c r="C427" s="139" t="s">
        <v>64</v>
      </c>
      <c r="D427" s="62" t="s">
        <v>38</v>
      </c>
      <c r="E427" s="63" t="e">
        <f>F427/F$390</f>
        <v>#DIV/0!</v>
      </c>
      <c r="F427" s="64">
        <f>F406+F425</f>
        <v>0</v>
      </c>
      <c r="G427" s="65"/>
      <c r="H427" s="63"/>
      <c r="I427" s="64"/>
      <c r="J427" s="65" t="s">
        <v>38</v>
      </c>
      <c r="K427" s="63">
        <f>L427/L$390</f>
        <v>0.46112977600043464</v>
      </c>
      <c r="L427" s="64">
        <f>L406+L425</f>
        <v>44140.91</v>
      </c>
      <c r="M427" s="66"/>
      <c r="N427" s="64">
        <f t="shared" ref="N427:N429" si="81">L427-F427</f>
        <v>44140.91</v>
      </c>
      <c r="O427" s="65" t="s">
        <v>38</v>
      </c>
      <c r="P427" s="63">
        <f>Q427/Q$390</f>
        <v>0.37772667521202519</v>
      </c>
      <c r="Q427" s="64">
        <f>Q406+Q425</f>
        <v>43854.830000000016</v>
      </c>
      <c r="R427" s="67"/>
      <c r="S427" s="64">
        <f>L427-Q427</f>
        <v>286.07999999998719</v>
      </c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 t="shared" si="81"/>
        <v>0</v>
      </c>
      <c r="O428" s="26"/>
      <c r="P428" s="7"/>
      <c r="Q428" s="39"/>
      <c r="R428" s="26"/>
      <c r="S428" s="39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" customHeight="1" thickBot="1">
      <c r="A429" s="234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/>
      <c r="J429" s="279"/>
      <c r="K429" s="278"/>
      <c r="L429" s="138">
        <f>L390-L427</f>
        <v>51582.489999999991</v>
      </c>
      <c r="M429" s="280"/>
      <c r="N429" s="138">
        <f t="shared" si="81"/>
        <v>51582.489999999991</v>
      </c>
      <c r="O429" s="279"/>
      <c r="P429" s="278"/>
      <c r="Q429" s="138">
        <f>Q390-Q427</f>
        <v>72247.189999999886</v>
      </c>
      <c r="R429" s="281"/>
      <c r="S429" s="138">
        <f>L429-Q429</f>
        <v>-20664.699999999895</v>
      </c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429" t="str">
        <f>+C367</f>
        <v>Ste-Marie Auto</v>
      </c>
      <c r="D432" s="430"/>
      <c r="E432" s="431"/>
      <c r="F432" s="430"/>
      <c r="G432" s="430"/>
      <c r="H432" s="429"/>
      <c r="I432" s="430"/>
      <c r="J432" s="429"/>
      <c r="K432" s="432" t="s">
        <v>458</v>
      </c>
      <c r="L432" s="430"/>
      <c r="M432" s="430"/>
      <c r="N432" s="433"/>
      <c r="O432" s="429"/>
      <c r="P432" s="430"/>
      <c r="Q432" s="429"/>
      <c r="R432" s="430"/>
      <c r="S432" s="434" t="str">
        <f>$S$1</f>
        <v>Réalisé, Septembre 2026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426" t="s">
        <v>5</v>
      </c>
      <c r="E434" s="427"/>
      <c r="F434" s="425"/>
      <c r="G434" s="424"/>
      <c r="H434" s="427"/>
      <c r="I434" s="425"/>
      <c r="J434" s="424" t="s">
        <v>7</v>
      </c>
      <c r="K434" s="427"/>
      <c r="L434" s="425"/>
      <c r="M434" s="424"/>
      <c r="N434" s="425"/>
      <c r="O434" s="426" t="s">
        <v>8</v>
      </c>
      <c r="P434" s="427"/>
      <c r="Q434" s="425"/>
      <c r="R434" s="424" t="s">
        <v>9</v>
      </c>
      <c r="S434" s="425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34" t="s">
        <v>114</v>
      </c>
      <c r="B435" s="7" t="s">
        <v>458</v>
      </c>
      <c r="C435" s="445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214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34"/>
      <c r="B436" s="7" t="s">
        <v>458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34"/>
      <c r="B437" s="7" t="s">
        <v>458</v>
      </c>
      <c r="C437" s="26" t="s">
        <v>459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361</v>
      </c>
      <c r="K437" s="55">
        <v>67750</v>
      </c>
      <c r="L437" s="39">
        <v>52694.15</v>
      </c>
      <c r="M437" s="99">
        <f>IFERROR((K437-E437)/E437,0)</f>
        <v>0</v>
      </c>
      <c r="N437" s="39">
        <f>L437-F437</f>
        <v>52694.15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52694.15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34"/>
      <c r="B438" s="7" t="s">
        <v>458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0.77777343173431734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34"/>
      <c r="B439" s="7" t="s">
        <v>458</v>
      </c>
      <c r="C439" s="26"/>
      <c r="D439" s="53"/>
      <c r="E439" s="141"/>
      <c r="F439" s="87"/>
      <c r="G439" s="85"/>
      <c r="H439" s="141"/>
      <c r="I439" s="87"/>
      <c r="J439" s="85"/>
      <c r="K439" s="312">
        <f>IFERROR(K437/J437,0)</f>
        <v>187.67313019390582</v>
      </c>
      <c r="L439" s="84"/>
      <c r="M439" s="85"/>
      <c r="N439" s="84"/>
      <c r="O439" s="85"/>
      <c r="P439" s="312">
        <f>IFERROR(P437/O437,0)</f>
        <v>0</v>
      </c>
      <c r="Q439" s="84"/>
      <c r="R439" s="86"/>
      <c r="S439" s="87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34"/>
      <c r="B440" s="7" t="s">
        <v>458</v>
      </c>
      <c r="C440" s="71" t="s">
        <v>460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168</v>
      </c>
      <c r="K440" s="105">
        <v>21330.000000000058</v>
      </c>
      <c r="L440" s="72">
        <v>15386.550000000061</v>
      </c>
      <c r="M440" s="109">
        <f>IFERROR((K440-E440)/E440,0)</f>
        <v>0</v>
      </c>
      <c r="N440" s="72">
        <f>L440-F440</f>
        <v>15386.550000000061</v>
      </c>
      <c r="O440" s="106">
        <v>470</v>
      </c>
      <c r="P440" s="105">
        <v>71453.400000000023</v>
      </c>
      <c r="Q440" s="72">
        <v>53896.860000000015</v>
      </c>
      <c r="R440" s="99">
        <f>IF(O440=0,0,J440/O440)</f>
        <v>0.35744680851063831</v>
      </c>
      <c r="S440" s="39">
        <f>L440-Q440</f>
        <v>-38510.309999999954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34"/>
      <c r="B441" s="7" t="s">
        <v>458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0.72135724331926954</v>
      </c>
      <c r="M441" s="99"/>
      <c r="N441" s="39">
        <f>IFERROR(N440/M440,0)</f>
        <v>0</v>
      </c>
      <c r="O441" s="40"/>
      <c r="P441" s="7"/>
      <c r="Q441" s="100">
        <f>IFERROR(Q440/P440,0)</f>
        <v>0.75429384745862338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34"/>
      <c r="B442" s="7" t="s">
        <v>458</v>
      </c>
      <c r="C442" s="14"/>
      <c r="D442" s="73"/>
      <c r="E442" s="101"/>
      <c r="F442" s="102"/>
      <c r="G442" s="14"/>
      <c r="H442" s="101"/>
      <c r="I442" s="102"/>
      <c r="J442" s="103"/>
      <c r="K442" s="312">
        <f>IFERROR(K440/J440,0)</f>
        <v>126.96428571428606</v>
      </c>
      <c r="L442" s="102"/>
      <c r="M442" s="104"/>
      <c r="N442" s="61"/>
      <c r="O442" s="103"/>
      <c r="P442" s="312">
        <f>IFERROR(P440/O440,0)</f>
        <v>152.02851063829792</v>
      </c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34"/>
      <c r="B443" s="7" t="s">
        <v>458</v>
      </c>
      <c r="C443" s="71" t="s">
        <v>461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0</v>
      </c>
      <c r="K443" s="55">
        <v>0</v>
      </c>
      <c r="L443" s="39">
        <v>0</v>
      </c>
      <c r="M443" s="99">
        <f>IFERROR((K443-E443)/E443,0)</f>
        <v>0</v>
      </c>
      <c r="N443" s="72">
        <f>L443-F443</f>
        <v>0</v>
      </c>
      <c r="O443" s="106">
        <v>8</v>
      </c>
      <c r="P443" s="55">
        <v>950</v>
      </c>
      <c r="Q443" s="39">
        <v>737.84999999999991</v>
      </c>
      <c r="R443" s="99">
        <f>IF(O443=0,0,J443/O443)</f>
        <v>0</v>
      </c>
      <c r="S443" s="39">
        <f>L443-Q443</f>
        <v>-737.84999999999991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34"/>
      <c r="B444" s="7" t="s">
        <v>458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</v>
      </c>
      <c r="M444" s="99"/>
      <c r="N444" s="39">
        <f>IFERROR(N443/M443,0)</f>
        <v>0</v>
      </c>
      <c r="O444" s="40"/>
      <c r="P444" s="7"/>
      <c r="Q444" s="100">
        <f>IFERROR(Q443/P443,0)</f>
        <v>0.77668421052631564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34"/>
      <c r="B445" s="7" t="s">
        <v>458</v>
      </c>
      <c r="C445" s="26"/>
      <c r="D445" s="7"/>
      <c r="E445" s="7"/>
      <c r="F445" s="100"/>
      <c r="G445" s="7"/>
      <c r="H445" s="91"/>
      <c r="I445" s="93"/>
      <c r="J445" s="40"/>
      <c r="K445" s="404">
        <f>IFERROR(K443/J443,0)</f>
        <v>0</v>
      </c>
      <c r="L445" s="100"/>
      <c r="M445" s="99"/>
      <c r="N445" s="39"/>
      <c r="O445" s="40"/>
      <c r="P445" s="404">
        <f>IFERROR(P443/O443,0)</f>
        <v>118.75</v>
      </c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34"/>
      <c r="B446" s="7" t="s">
        <v>458</v>
      </c>
      <c r="C446" s="26" t="s">
        <v>462</v>
      </c>
      <c r="D446" s="7"/>
      <c r="E446" s="7"/>
      <c r="F446" s="100"/>
      <c r="G446" s="7"/>
      <c r="H446" s="91"/>
      <c r="I446" s="93"/>
      <c r="J446" s="40"/>
      <c r="K446" s="7"/>
      <c r="L446" s="39">
        <v>669.09999999999991</v>
      </c>
      <c r="M446" s="99"/>
      <c r="N446" s="39"/>
      <c r="O446" s="40"/>
      <c r="P446" s="7"/>
      <c r="Q446" s="39">
        <v>0</v>
      </c>
      <c r="R446" s="40"/>
      <c r="S446" s="39">
        <f>L446-Q446</f>
        <v>669.09999999999991</v>
      </c>
      <c r="T446" s="6"/>
      <c r="U446" s="6" t="s">
        <v>523</v>
      </c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34"/>
      <c r="B447" s="7" t="s">
        <v>458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34" t="s">
        <v>463</v>
      </c>
      <c r="B448" s="7" t="s">
        <v>458</v>
      </c>
      <c r="C448" s="264" t="s">
        <v>464</v>
      </c>
      <c r="D448" s="41">
        <v>0</v>
      </c>
      <c r="E448" s="42">
        <f>IFERROR(F448/D448,0)</f>
        <v>0</v>
      </c>
      <c r="F448" s="43">
        <v>0</v>
      </c>
      <c r="G448" s="44"/>
      <c r="H448" s="42"/>
      <c r="I448" s="43"/>
      <c r="J448" s="44"/>
      <c r="K448" s="41">
        <f>K437+K440+K443</f>
        <v>89080.000000000058</v>
      </c>
      <c r="L448" s="43">
        <f>L437+L440+L443+L446</f>
        <v>68749.800000000076</v>
      </c>
      <c r="M448" s="44"/>
      <c r="N448" s="43"/>
      <c r="O448" s="44"/>
      <c r="P448" s="41">
        <f>P437+P440+P443</f>
        <v>72403.400000000023</v>
      </c>
      <c r="Q448" s="43">
        <f>Q437+Q440+Q443+Q446</f>
        <v>54634.710000000014</v>
      </c>
      <c r="R448" s="44">
        <f>IF(O448=0,0,(J448-O448)/O448)</f>
        <v>0</v>
      </c>
      <c r="S448" s="43">
        <f>S437+S440+S443+S446</f>
        <v>14115.090000000047</v>
      </c>
      <c r="T448" s="6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34" t="s">
        <v>114</v>
      </c>
      <c r="B449" s="7" t="s">
        <v>458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0.77177593174674486</v>
      </c>
      <c r="M449" s="48"/>
      <c r="N449" s="49"/>
      <c r="O449" s="47"/>
      <c r="P449" s="265"/>
      <c r="Q449" s="267">
        <f>Q448/P448</f>
        <v>0.7545876298626859</v>
      </c>
      <c r="R449" s="48"/>
      <c r="S449" s="267">
        <f>IF(Q448=0,0,S448/Q448)</f>
        <v>0.25835389260783198</v>
      </c>
      <c r="T449" s="6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34" t="s">
        <v>114</v>
      </c>
      <c r="B450" s="7" t="s">
        <v>458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34" t="s">
        <v>465</v>
      </c>
      <c r="B451" s="7" t="s">
        <v>458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34" t="s">
        <v>466</v>
      </c>
      <c r="B452" s="7" t="s">
        <v>458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f t="shared" ref="S452:S481" si="82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34" t="s">
        <v>467</v>
      </c>
      <c r="B453" s="7" t="s">
        <v>458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8443.4200000000019</v>
      </c>
      <c r="M453" s="26"/>
      <c r="N453" s="39"/>
      <c r="O453" s="26"/>
      <c r="P453" s="7"/>
      <c r="Q453" s="61">
        <v>0</v>
      </c>
      <c r="R453" s="26"/>
      <c r="S453" s="39">
        <f t="shared" si="82"/>
        <v>8443.4200000000019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34" t="s">
        <v>468</v>
      </c>
      <c r="B454" s="7" t="s">
        <v>458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2025.0000000000002</v>
      </c>
      <c r="M454" s="71"/>
      <c r="N454" s="72"/>
      <c r="O454" s="71"/>
      <c r="P454" s="69"/>
      <c r="Q454" s="39">
        <v>0</v>
      </c>
      <c r="R454" s="71"/>
      <c r="S454" s="72">
        <f t="shared" si="82"/>
        <v>2025.0000000000002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34" t="s">
        <v>469</v>
      </c>
      <c r="B455" s="7" t="s">
        <v>458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82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25" hidden="1" customHeight="1">
      <c r="A456" s="234" t="s">
        <v>470</v>
      </c>
      <c r="B456" s="7" t="s">
        <v>458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82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25" hidden="1" customHeight="1">
      <c r="A457" s="234" t="s">
        <v>470</v>
      </c>
      <c r="B457" s="7" t="s">
        <v>458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82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25" hidden="1" customHeight="1">
      <c r="A458" s="234" t="s">
        <v>470</v>
      </c>
      <c r="B458" s="7" t="s">
        <v>458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82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34" t="s">
        <v>471</v>
      </c>
      <c r="B459" s="7" t="s">
        <v>458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6497.1700000000019</v>
      </c>
      <c r="M459" s="26"/>
      <c r="N459" s="39"/>
      <c r="O459" s="26"/>
      <c r="P459" s="7"/>
      <c r="Q459" s="61">
        <v>0</v>
      </c>
      <c r="R459" s="26"/>
      <c r="S459" s="39">
        <f t="shared" si="82"/>
        <v>6497.1700000000019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34" t="s">
        <v>472</v>
      </c>
      <c r="B460" s="7" t="s">
        <v>458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5652.2199999999993</v>
      </c>
      <c r="M460" s="71"/>
      <c r="N460" s="72"/>
      <c r="O460" s="71"/>
      <c r="P460" s="69"/>
      <c r="Q460" s="39">
        <v>0</v>
      </c>
      <c r="R460" s="71"/>
      <c r="S460" s="72">
        <f t="shared" si="82"/>
        <v>5652.2199999999993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34" t="s">
        <v>473</v>
      </c>
      <c r="B461" s="7" t="s">
        <v>458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1102.9100000000003</v>
      </c>
      <c r="M461" s="26"/>
      <c r="N461" s="39"/>
      <c r="O461" s="26"/>
      <c r="P461" s="7"/>
      <c r="Q461" s="39">
        <v>0</v>
      </c>
      <c r="R461" s="26"/>
      <c r="S461" s="39">
        <f t="shared" si="82"/>
        <v>1102.9100000000003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34" t="s">
        <v>474</v>
      </c>
      <c r="B462" s="7" t="s">
        <v>458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741.76</v>
      </c>
      <c r="M462" s="26"/>
      <c r="N462" s="39"/>
      <c r="O462" s="26"/>
      <c r="P462" s="7"/>
      <c r="Q462" s="39">
        <v>0</v>
      </c>
      <c r="R462" s="26"/>
      <c r="S462" s="39">
        <f t="shared" si="82"/>
        <v>741.76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25" hidden="1" customHeight="1">
      <c r="A463" s="234" t="s">
        <v>470</v>
      </c>
      <c r="B463" s="7" t="s">
        <v>458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82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" customHeight="1">
      <c r="A464" s="234" t="s">
        <v>475</v>
      </c>
      <c r="B464" s="7" t="s">
        <v>458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0.35581892601869353</v>
      </c>
      <c r="L464" s="64">
        <f>+SUM(L452:L463)</f>
        <v>24462.480000000003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82"/>
        <v>24462.480000000003</v>
      </c>
      <c r="T464" s="6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34" t="s">
        <v>476</v>
      </c>
      <c r="B465" s="7" t="s">
        <v>458</v>
      </c>
      <c r="C465" s="329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82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34" t="s">
        <v>477</v>
      </c>
      <c r="B466" s="7" t="s">
        <v>458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f t="shared" si="82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34" t="s">
        <v>478</v>
      </c>
      <c r="B467" s="7" t="s">
        <v>458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82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34" t="s">
        <v>479</v>
      </c>
      <c r="B468" s="7" t="s">
        <v>458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82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34" t="s">
        <v>480</v>
      </c>
      <c r="B469" s="7" t="s">
        <v>458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82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34" t="s">
        <v>481</v>
      </c>
      <c r="B470" s="7" t="s">
        <v>458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567.63</v>
      </c>
      <c r="M470" s="14"/>
      <c r="N470" s="61"/>
      <c r="O470" s="14"/>
      <c r="P470" s="73"/>
      <c r="Q470" s="61">
        <v>0</v>
      </c>
      <c r="R470" s="14"/>
      <c r="S470" s="61">
        <f t="shared" si="82"/>
        <v>567.63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34" t="s">
        <v>482</v>
      </c>
      <c r="B471" s="7" t="s">
        <v>458</v>
      </c>
      <c r="C471" s="329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82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34" t="s">
        <v>483</v>
      </c>
      <c r="B472" s="7" t="s">
        <v>458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544.45000000000005</v>
      </c>
      <c r="M472" s="26"/>
      <c r="N472" s="39"/>
      <c r="O472" s="26"/>
      <c r="P472" s="7"/>
      <c r="Q472" s="39">
        <v>0</v>
      </c>
      <c r="R472" s="26"/>
      <c r="S472" s="39">
        <f t="shared" si="82"/>
        <v>544.45000000000005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34" t="s">
        <v>484</v>
      </c>
      <c r="B473" s="7" t="s">
        <v>458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82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34" t="s">
        <v>485</v>
      </c>
      <c r="B474" s="7" t="s">
        <v>458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82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34" t="s">
        <v>486</v>
      </c>
      <c r="B475" s="7" t="s">
        <v>458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82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34" t="s">
        <v>487</v>
      </c>
      <c r="B476" s="7" t="s">
        <v>458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75</v>
      </c>
      <c r="M476" s="26"/>
      <c r="N476" s="39"/>
      <c r="O476" s="26"/>
      <c r="P476" s="7"/>
      <c r="Q476" s="39">
        <v>0</v>
      </c>
      <c r="R476" s="26"/>
      <c r="S476" s="39">
        <f t="shared" si="82"/>
        <v>75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34" t="s">
        <v>488</v>
      </c>
      <c r="B477" s="7" t="s">
        <v>458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1577.2800000000002</v>
      </c>
      <c r="M477" s="26"/>
      <c r="N477" s="39"/>
      <c r="O477" s="26"/>
      <c r="P477" s="7"/>
      <c r="Q477" s="39">
        <v>0</v>
      </c>
      <c r="R477" s="26"/>
      <c r="S477" s="39">
        <f t="shared" si="82"/>
        <v>1577.2800000000002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5" customHeight="1">
      <c r="A478" s="234" t="s">
        <v>489</v>
      </c>
      <c r="B478" s="7" t="s">
        <v>458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82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25" hidden="1" customHeight="1">
      <c r="A479" s="234" t="s">
        <v>470</v>
      </c>
      <c r="B479" s="7" t="s">
        <v>458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82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25" hidden="1" customHeight="1">
      <c r="A480" s="234" t="s">
        <v>470</v>
      </c>
      <c r="B480" s="7" t="s">
        <v>458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82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25" hidden="1" customHeight="1">
      <c r="A481" s="234" t="s">
        <v>470</v>
      </c>
      <c r="B481" s="7" t="s">
        <v>458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82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" customHeight="1">
      <c r="A482" s="234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4.020898969887908E-2</v>
      </c>
      <c r="L482" s="64">
        <f>+SUM(L465:L481)</f>
        <v>2764.36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2764.36</v>
      </c>
      <c r="T482" s="6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" customHeight="1">
      <c r="A484" s="234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0.39602791571757262</v>
      </c>
      <c r="L484" s="64">
        <f>L464+L482</f>
        <v>27226.840000000004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27226.840000000004</v>
      </c>
      <c r="T484" s="6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" customHeight="1" thickBot="1">
      <c r="A486" s="234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41522.960000000072</v>
      </c>
      <c r="M486" s="280"/>
      <c r="N486" s="138"/>
      <c r="O486" s="279"/>
      <c r="P486" s="278"/>
      <c r="Q486" s="138">
        <f>Q448-Q484</f>
        <v>54634.710000000014</v>
      </c>
      <c r="R486" s="281"/>
      <c r="S486" s="138">
        <f>L486-Q486</f>
        <v>-13111.749999999942</v>
      </c>
      <c r="T486" s="6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>
        <f>F390+F326+F268</f>
        <v>0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6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>
        <f>F429+F307+F365</f>
        <v>0</v>
      </c>
      <c r="L488" s="74"/>
      <c r="T488" s="6"/>
      <c r="U488" s="6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15.75" customHeight="1">
      <c r="B489" s="3"/>
      <c r="C489" s="336" t="s">
        <v>490</v>
      </c>
      <c r="F489" s="270"/>
      <c r="L489" s="270"/>
      <c r="T489" s="6"/>
      <c r="U489" s="6"/>
      <c r="V489" s="449" t="str">
        <f>C1</f>
        <v>Ste-Marie Auto</v>
      </c>
      <c r="W489" s="429"/>
      <c r="X489" s="429"/>
      <c r="Y489" s="429"/>
      <c r="Z489" s="429"/>
      <c r="AA489" s="429"/>
      <c r="AB489" s="429"/>
      <c r="AC489" s="429"/>
      <c r="AD489" s="429"/>
      <c r="AE489" s="450"/>
      <c r="AF489" s="450" t="s">
        <v>491</v>
      </c>
      <c r="AG489" s="429"/>
      <c r="AH489" s="429"/>
      <c r="AI489" s="429"/>
      <c r="AJ489" s="451"/>
      <c r="AK489" s="430"/>
      <c r="AL489" s="429"/>
      <c r="AM489" s="429"/>
      <c r="AN489" s="429"/>
      <c r="AO489" s="451" t="str">
        <f>$S$1</f>
        <v>Réalisé, Septembre 2026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6" t="s">
        <v>490</v>
      </c>
      <c r="T490" s="6"/>
      <c r="U490" s="6"/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34" t="s">
        <v>492</v>
      </c>
      <c r="B491" s="3"/>
      <c r="C491" s="336" t="s">
        <v>490</v>
      </c>
      <c r="T491" s="6"/>
      <c r="U491" s="6"/>
      <c r="V491" s="341"/>
      <c r="W491" s="342"/>
      <c r="X491" s="422" t="s">
        <v>116</v>
      </c>
      <c r="Y491" s="420"/>
      <c r="Z491" s="423"/>
      <c r="AA491" s="419"/>
      <c r="AB491" s="420"/>
      <c r="AC491" s="423"/>
      <c r="AD491" s="419" t="s">
        <v>7</v>
      </c>
      <c r="AE491" s="420"/>
      <c r="AF491" s="423"/>
      <c r="AG491" s="419" t="s">
        <v>210</v>
      </c>
      <c r="AH491" s="420"/>
      <c r="AI491" s="423"/>
      <c r="AJ491" s="419" t="s">
        <v>117</v>
      </c>
      <c r="AK491" s="420"/>
      <c r="AL491" s="420"/>
      <c r="AM491" s="419" t="s">
        <v>118</v>
      </c>
      <c r="AN491" s="420"/>
      <c r="AO491" s="421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34" t="s">
        <v>492</v>
      </c>
      <c r="B492" s="3"/>
      <c r="C492" s="336" t="s">
        <v>490</v>
      </c>
      <c r="T492" s="6"/>
      <c r="U492" s="6"/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34" t="s">
        <v>14</v>
      </c>
      <c r="B493" s="3"/>
      <c r="C493" s="336" t="s">
        <v>490</v>
      </c>
      <c r="T493" s="6"/>
      <c r="U493" s="6"/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11195936.660000006</v>
      </c>
      <c r="AG493" s="147"/>
      <c r="AH493" s="148"/>
      <c r="AI493" s="149"/>
      <c r="AJ493" s="147"/>
      <c r="AK493" s="148"/>
      <c r="AL493" s="146">
        <f>Q5+Q93+Q173+P268+P326+O390+P448</f>
        <v>16454252.350000013</v>
      </c>
      <c r="AM493" s="150"/>
      <c r="AN493" s="148"/>
      <c r="AO493" s="343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34" t="s">
        <v>126</v>
      </c>
      <c r="B494" s="3"/>
      <c r="C494" s="336" t="s">
        <v>490</v>
      </c>
      <c r="T494" s="6"/>
      <c r="U494" s="6"/>
      <c r="V494" s="344" t="s">
        <v>126</v>
      </c>
      <c r="W494" s="151"/>
      <c r="X494" s="452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453">
        <f>AF494/AF493</f>
        <v>5.2344357403680257E-2</v>
      </c>
      <c r="AE494" s="154"/>
      <c r="AF494" s="152">
        <f>L27+L109+L182+L268+L326+L390+L448</f>
        <v>586044.11000000651</v>
      </c>
      <c r="AG494" s="153"/>
      <c r="AH494" s="154" t="e">
        <f>AF494-Z494</f>
        <v>#REF!</v>
      </c>
      <c r="AI494" s="155" t="e">
        <f>AH494/Z494</f>
        <v>#REF!</v>
      </c>
      <c r="AJ494" s="453">
        <f>AL494/AL493</f>
        <v>5.0348758021813898E-2</v>
      </c>
      <c r="AK494" s="154"/>
      <c r="AL494" s="152">
        <f>Q27+Q109+Q182+Q268+Q326+Q390+Q448</f>
        <v>828451.17000001331</v>
      </c>
      <c r="AM494" s="156"/>
      <c r="AN494" s="154">
        <f>AF494-AL494</f>
        <v>-242407.06000000681</v>
      </c>
      <c r="AO494" s="346">
        <f>IF(AL494=0,0,AN494/AL494)</f>
        <v>-0.29260271308446933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34" t="s">
        <v>127</v>
      </c>
      <c r="B495" s="3"/>
      <c r="C495" s="336" t="s">
        <v>490</v>
      </c>
      <c r="T495" s="6"/>
      <c r="U495" s="6"/>
      <c r="V495" s="347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8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34" t="s">
        <v>30</v>
      </c>
      <c r="B496" s="3"/>
      <c r="C496" s="336" t="s">
        <v>490</v>
      </c>
      <c r="T496" s="6"/>
      <c r="U496" s="6"/>
      <c r="V496" s="271" t="s">
        <v>30</v>
      </c>
      <c r="W496" s="163" t="s">
        <v>128</v>
      </c>
      <c r="X496" s="157"/>
      <c r="Y496" s="164" t="e">
        <f t="shared" ref="Y496:Y505" si="83">Z496/(D$13+D$97)</f>
        <v>#DIV/0!</v>
      </c>
      <c r="Z496" s="158">
        <f t="shared" ref="Z496:Z502" si="84">+SUMIF($C:$C,$V496,F:F)</f>
        <v>0</v>
      </c>
      <c r="AA496" s="157"/>
      <c r="AB496" s="164"/>
      <c r="AC496" s="158"/>
      <c r="AD496" s="165"/>
      <c r="AE496" s="160">
        <f t="shared" ref="AE496:AE504" si="85">IF(AF496=0,0,AF496/(J$13+J$97))</f>
        <v>529.48841584158401</v>
      </c>
      <c r="AF496" s="158">
        <f t="shared" ref="AF496:AF502" si="86">+SUMIF($C:$C,$V496,L:L)</f>
        <v>53478.329999999987</v>
      </c>
      <c r="AG496" s="159" t="e">
        <f t="shared" ref="AG496:AH511" si="87">AE496-Y496</f>
        <v>#DIV/0!</v>
      </c>
      <c r="AH496" s="160">
        <f t="shared" si="87"/>
        <v>53478.329999999987</v>
      </c>
      <c r="AI496" s="161">
        <f t="shared" ref="AI496:AI505" si="88">IF(Z496=0,0,AH496/Z496)</f>
        <v>0</v>
      </c>
      <c r="AJ496" s="165"/>
      <c r="AK496" s="160">
        <f t="shared" ref="AK496:AK504" si="89">IF(AL496=0,0,AL496/(O$13+O$97))</f>
        <v>1116.3302631578945</v>
      </c>
      <c r="AL496" s="158">
        <v>84841.099999999977</v>
      </c>
      <c r="AM496" s="162">
        <f t="shared" ref="AM496:AN511" si="90">AE496-AK496</f>
        <v>-586.84184731631046</v>
      </c>
      <c r="AN496" s="160">
        <f t="shared" si="90"/>
        <v>-31362.76999999999</v>
      </c>
      <c r="AO496" s="349">
        <f t="shared" ref="AO496:AO553" si="91">IF(AL496=0,0,AN496/AL496)</f>
        <v>-0.36966482047026733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34" t="s">
        <v>31</v>
      </c>
      <c r="B497" s="3"/>
      <c r="C497" s="336" t="s">
        <v>490</v>
      </c>
      <c r="T497" s="6"/>
      <c r="U497" s="6"/>
      <c r="V497" s="272" t="s">
        <v>31</v>
      </c>
      <c r="W497" s="166" t="s">
        <v>129</v>
      </c>
      <c r="X497" s="145"/>
      <c r="Y497" s="167" t="e">
        <f t="shared" si="83"/>
        <v>#DIV/0!</v>
      </c>
      <c r="Z497" s="146">
        <f t="shared" si="84"/>
        <v>0</v>
      </c>
      <c r="AA497" s="145"/>
      <c r="AB497" s="167"/>
      <c r="AC497" s="146"/>
      <c r="AD497" s="168"/>
      <c r="AE497" s="148">
        <f t="shared" si="85"/>
        <v>165.07564356435637</v>
      </c>
      <c r="AF497" s="146">
        <f t="shared" si="86"/>
        <v>16672.639999999992</v>
      </c>
      <c r="AG497" s="147" t="e">
        <f t="shared" si="87"/>
        <v>#DIV/0!</v>
      </c>
      <c r="AH497" s="148">
        <f t="shared" si="87"/>
        <v>16672.639999999992</v>
      </c>
      <c r="AI497" s="169">
        <f t="shared" si="88"/>
        <v>0</v>
      </c>
      <c r="AJ497" s="168"/>
      <c r="AK497" s="148">
        <f t="shared" si="89"/>
        <v>278.6752631578949</v>
      </c>
      <c r="AL497" s="146">
        <v>21179.320000000011</v>
      </c>
      <c r="AM497" s="150">
        <f t="shared" si="90"/>
        <v>-113.59961959353853</v>
      </c>
      <c r="AN497" s="148">
        <f t="shared" si="90"/>
        <v>-4506.6800000000185</v>
      </c>
      <c r="AO497" s="343">
        <f t="shared" si="91"/>
        <v>-0.21278681279663447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34" t="s">
        <v>32</v>
      </c>
      <c r="B498" s="3"/>
      <c r="C498" s="336" t="s">
        <v>490</v>
      </c>
      <c r="T498" s="6"/>
      <c r="U498" s="6"/>
      <c r="V498" s="271" t="s">
        <v>32</v>
      </c>
      <c r="W498" s="163" t="s">
        <v>130</v>
      </c>
      <c r="X498" s="157"/>
      <c r="Y498" s="164" t="e">
        <f t="shared" si="83"/>
        <v>#DIV/0!</v>
      </c>
      <c r="Z498" s="158">
        <f t="shared" si="84"/>
        <v>0</v>
      </c>
      <c r="AA498" s="157"/>
      <c r="AB498" s="164"/>
      <c r="AC498" s="158"/>
      <c r="AD498" s="165"/>
      <c r="AE498" s="160">
        <f t="shared" si="85"/>
        <v>275.1953465346532</v>
      </c>
      <c r="AF498" s="158">
        <f t="shared" si="86"/>
        <v>27794.729999999974</v>
      </c>
      <c r="AG498" s="159" t="e">
        <f t="shared" si="87"/>
        <v>#DIV/0!</v>
      </c>
      <c r="AH498" s="160">
        <f t="shared" si="87"/>
        <v>27794.729999999974</v>
      </c>
      <c r="AI498" s="161">
        <f t="shared" si="88"/>
        <v>0</v>
      </c>
      <c r="AJ498" s="165"/>
      <c r="AK498" s="160">
        <f t="shared" si="89"/>
        <v>-72.434473684210502</v>
      </c>
      <c r="AL498" s="158">
        <v>-5505.0199999999977</v>
      </c>
      <c r="AM498" s="162">
        <f t="shared" si="90"/>
        <v>347.6298202188637</v>
      </c>
      <c r="AN498" s="160">
        <f t="shared" si="90"/>
        <v>33299.749999999971</v>
      </c>
      <c r="AO498" s="349">
        <f t="shared" si="91"/>
        <v>-6.0489789319566478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34" t="s">
        <v>33</v>
      </c>
      <c r="B499" s="3"/>
      <c r="C499" s="336" t="s">
        <v>490</v>
      </c>
      <c r="T499" s="6"/>
      <c r="U499" s="6"/>
      <c r="V499" s="271" t="s">
        <v>33</v>
      </c>
      <c r="W499" s="163" t="s">
        <v>131</v>
      </c>
      <c r="X499" s="157"/>
      <c r="Y499" s="164" t="e">
        <f t="shared" si="83"/>
        <v>#DIV/0!</v>
      </c>
      <c r="Z499" s="158">
        <f t="shared" si="84"/>
        <v>0</v>
      </c>
      <c r="AA499" s="157"/>
      <c r="AB499" s="164"/>
      <c r="AC499" s="158"/>
      <c r="AD499" s="165"/>
      <c r="AE499" s="160">
        <f t="shared" si="85"/>
        <v>7.7640594059405768</v>
      </c>
      <c r="AF499" s="158">
        <f t="shared" si="86"/>
        <v>784.16999999999825</v>
      </c>
      <c r="AG499" s="159" t="e">
        <f t="shared" si="87"/>
        <v>#DIV/0!</v>
      </c>
      <c r="AH499" s="160">
        <f t="shared" si="87"/>
        <v>784.16999999999825</v>
      </c>
      <c r="AI499" s="161">
        <f t="shared" si="88"/>
        <v>0</v>
      </c>
      <c r="AJ499" s="165"/>
      <c r="AK499" s="160">
        <f t="shared" si="89"/>
        <v>6.2107894736842102</v>
      </c>
      <c r="AL499" s="158">
        <v>472.02</v>
      </c>
      <c r="AM499" s="162">
        <f t="shared" si="90"/>
        <v>1.5532699322563666</v>
      </c>
      <c r="AN499" s="160">
        <f t="shared" si="90"/>
        <v>312.14999999999827</v>
      </c>
      <c r="AO499" s="349">
        <f t="shared" si="91"/>
        <v>0.66130672429133996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34" t="s">
        <v>34</v>
      </c>
      <c r="B500" s="3"/>
      <c r="C500" s="336" t="s">
        <v>490</v>
      </c>
      <c r="T500" s="6"/>
      <c r="U500" s="6"/>
      <c r="V500" s="272" t="s">
        <v>34</v>
      </c>
      <c r="W500" s="166"/>
      <c r="X500" s="145"/>
      <c r="Y500" s="167" t="e">
        <f t="shared" si="83"/>
        <v>#DIV/0!</v>
      </c>
      <c r="Z500" s="146">
        <f t="shared" si="84"/>
        <v>0</v>
      </c>
      <c r="AA500" s="145"/>
      <c r="AB500" s="167"/>
      <c r="AC500" s="146"/>
      <c r="AD500" s="168"/>
      <c r="AE500" s="148">
        <f t="shared" si="85"/>
        <v>27.466831683168312</v>
      </c>
      <c r="AF500" s="146">
        <f t="shared" si="86"/>
        <v>2774.1499999999996</v>
      </c>
      <c r="AG500" s="147" t="e">
        <f t="shared" si="87"/>
        <v>#DIV/0!</v>
      </c>
      <c r="AH500" s="148">
        <f t="shared" si="87"/>
        <v>2774.1499999999996</v>
      </c>
      <c r="AI500" s="169">
        <f t="shared" si="88"/>
        <v>0</v>
      </c>
      <c r="AJ500" s="168"/>
      <c r="AK500" s="148">
        <f t="shared" si="89"/>
        <v>0</v>
      </c>
      <c r="AL500" s="146">
        <v>0</v>
      </c>
      <c r="AM500" s="150">
        <f t="shared" si="90"/>
        <v>27.466831683168312</v>
      </c>
      <c r="AN500" s="148">
        <f t="shared" si="90"/>
        <v>2774.1499999999996</v>
      </c>
      <c r="AO500" s="343">
        <f t="shared" si="91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34" t="s">
        <v>35</v>
      </c>
      <c r="B501" s="3"/>
      <c r="C501" s="336" t="s">
        <v>490</v>
      </c>
      <c r="T501" s="6"/>
      <c r="U501" s="6"/>
      <c r="V501" s="271" t="s">
        <v>35</v>
      </c>
      <c r="W501" s="163" t="s">
        <v>132</v>
      </c>
      <c r="X501" s="161"/>
      <c r="Y501" s="164" t="e">
        <f t="shared" si="83"/>
        <v>#DIV/0!</v>
      </c>
      <c r="Z501" s="158">
        <f t="shared" si="84"/>
        <v>0</v>
      </c>
      <c r="AA501" s="161"/>
      <c r="AB501" s="164"/>
      <c r="AC501" s="158"/>
      <c r="AD501" s="165"/>
      <c r="AE501" s="160">
        <f t="shared" si="85"/>
        <v>-548.20772277227718</v>
      </c>
      <c r="AF501" s="158">
        <f t="shared" si="86"/>
        <v>-55368.979999999996</v>
      </c>
      <c r="AG501" s="159" t="e">
        <f t="shared" si="87"/>
        <v>#DIV/0!</v>
      </c>
      <c r="AH501" s="160">
        <f t="shared" si="87"/>
        <v>-55368.979999999996</v>
      </c>
      <c r="AI501" s="161">
        <f t="shared" si="88"/>
        <v>0</v>
      </c>
      <c r="AJ501" s="165"/>
      <c r="AK501" s="160">
        <f t="shared" si="89"/>
        <v>-1186.0940789473686</v>
      </c>
      <c r="AL501" s="158">
        <v>-90143.150000000009</v>
      </c>
      <c r="AM501" s="162">
        <f t="shared" si="90"/>
        <v>637.88635617509146</v>
      </c>
      <c r="AN501" s="160">
        <f t="shared" si="90"/>
        <v>34774.170000000013</v>
      </c>
      <c r="AO501" s="349">
        <f t="shared" si="91"/>
        <v>-0.38576608427817322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34" t="s">
        <v>36</v>
      </c>
      <c r="B502" s="3"/>
      <c r="C502" s="336" t="s">
        <v>490</v>
      </c>
      <c r="T502" s="6"/>
      <c r="U502" s="6"/>
      <c r="V502" s="271" t="s">
        <v>36</v>
      </c>
      <c r="W502" s="163" t="s">
        <v>133</v>
      </c>
      <c r="X502" s="157"/>
      <c r="Y502" s="164" t="e">
        <f t="shared" si="83"/>
        <v>#DIV/0!</v>
      </c>
      <c r="Z502" s="158">
        <f t="shared" si="84"/>
        <v>0</v>
      </c>
      <c r="AA502" s="157"/>
      <c r="AB502" s="164"/>
      <c r="AC502" s="158"/>
      <c r="AD502" s="165"/>
      <c r="AE502" s="160">
        <f t="shared" si="85"/>
        <v>487.26128712871269</v>
      </c>
      <c r="AF502" s="158">
        <f t="shared" si="86"/>
        <v>49213.389999999985</v>
      </c>
      <c r="AG502" s="159" t="e">
        <f t="shared" si="87"/>
        <v>#DIV/0!</v>
      </c>
      <c r="AH502" s="160">
        <f t="shared" si="87"/>
        <v>49213.389999999985</v>
      </c>
      <c r="AI502" s="161">
        <f t="shared" si="88"/>
        <v>0</v>
      </c>
      <c r="AJ502" s="165"/>
      <c r="AK502" s="160">
        <f t="shared" si="89"/>
        <v>766.22947368420978</v>
      </c>
      <c r="AL502" s="158">
        <v>58233.439999999944</v>
      </c>
      <c r="AM502" s="162">
        <f t="shared" si="90"/>
        <v>-278.96818655549708</v>
      </c>
      <c r="AN502" s="160">
        <f t="shared" si="90"/>
        <v>-9020.0499999999593</v>
      </c>
      <c r="AO502" s="349">
        <f t="shared" si="91"/>
        <v>-0.15489467907099372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34" t="s">
        <v>19</v>
      </c>
      <c r="B503" s="3"/>
      <c r="C503" s="336" t="s">
        <v>490</v>
      </c>
      <c r="T503" s="6"/>
      <c r="U503" s="6"/>
      <c r="V503" s="271" t="s">
        <v>302</v>
      </c>
      <c r="W503" s="163"/>
      <c r="X503" s="161"/>
      <c r="Y503" s="164" t="e">
        <f t="shared" si="83"/>
        <v>#DIV/0!</v>
      </c>
      <c r="Z503" s="158">
        <f t="shared" ref="Z503:Z505" si="92">IFERROR(SUMIF($C:$C,$V503,F:F),0)</f>
        <v>0</v>
      </c>
      <c r="AA503" s="157"/>
      <c r="AB503" s="164"/>
      <c r="AC503" s="158"/>
      <c r="AD503" s="165"/>
      <c r="AE503" s="160">
        <f t="shared" si="85"/>
        <v>-1270.494455445544</v>
      </c>
      <c r="AF503" s="158">
        <f t="shared" ref="AF503:AF505" si="93">IFERROR(SUMIF($C:$C,$V503,L:L),0)</f>
        <v>-128319.93999999994</v>
      </c>
      <c r="AG503" s="159" t="e">
        <f t="shared" si="87"/>
        <v>#DIV/0!</v>
      </c>
      <c r="AH503" s="160">
        <f t="shared" si="87"/>
        <v>-128319.93999999994</v>
      </c>
      <c r="AI503" s="161">
        <f t="shared" si="88"/>
        <v>0</v>
      </c>
      <c r="AJ503" s="165"/>
      <c r="AK503" s="160">
        <f t="shared" si="89"/>
        <v>-2902.7215789473694</v>
      </c>
      <c r="AL503" s="158">
        <v>-220606.84000000008</v>
      </c>
      <c r="AM503" s="162">
        <f t="shared" si="90"/>
        <v>1632.2271235018254</v>
      </c>
      <c r="AN503" s="160">
        <f t="shared" si="90"/>
        <v>92286.90000000014</v>
      </c>
      <c r="AO503" s="349">
        <f t="shared" si="91"/>
        <v>-0.41833199732157039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34" t="s">
        <v>19</v>
      </c>
      <c r="B504" s="3"/>
      <c r="C504" s="336" t="s">
        <v>490</v>
      </c>
      <c r="T504" s="6"/>
      <c r="U504" s="6"/>
      <c r="V504" s="271" t="s">
        <v>303</v>
      </c>
      <c r="W504" s="163"/>
      <c r="X504" s="161"/>
      <c r="Y504" s="164" t="e">
        <f t="shared" si="83"/>
        <v>#DIV/0!</v>
      </c>
      <c r="Z504" s="158">
        <f t="shared" si="92"/>
        <v>0</v>
      </c>
      <c r="AA504" s="157"/>
      <c r="AB504" s="164"/>
      <c r="AC504" s="158"/>
      <c r="AD504" s="165"/>
      <c r="AE504" s="160">
        <f t="shared" si="85"/>
        <v>-115.21386138613869</v>
      </c>
      <c r="AF504" s="158">
        <f t="shared" si="93"/>
        <v>-11636.600000000008</v>
      </c>
      <c r="AG504" s="159" t="e">
        <f t="shared" si="87"/>
        <v>#DIV/0!</v>
      </c>
      <c r="AH504" s="160">
        <f t="shared" si="87"/>
        <v>-11636.600000000008</v>
      </c>
      <c r="AI504" s="161">
        <f t="shared" si="88"/>
        <v>0</v>
      </c>
      <c r="AJ504" s="165"/>
      <c r="AK504" s="160">
        <f t="shared" si="89"/>
        <v>0</v>
      </c>
      <c r="AL504" s="158">
        <v>0</v>
      </c>
      <c r="AM504" s="162">
        <f t="shared" si="90"/>
        <v>-115.21386138613869</v>
      </c>
      <c r="AN504" s="160">
        <f t="shared" si="90"/>
        <v>-11636.600000000008</v>
      </c>
      <c r="AO504" s="349">
        <f t="shared" si="91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25" hidden="1" customHeight="1">
      <c r="A505" s="234" t="s">
        <v>19</v>
      </c>
      <c r="B505" s="3"/>
      <c r="C505" s="336" t="s">
        <v>490</v>
      </c>
      <c r="T505" s="6"/>
      <c r="U505" s="6"/>
      <c r="V505" s="271" t="s">
        <v>19</v>
      </c>
      <c r="W505" s="163" t="s">
        <v>133</v>
      </c>
      <c r="X505" s="157"/>
      <c r="Y505" s="164" t="e">
        <f t="shared" si="83"/>
        <v>#DIV/0!</v>
      </c>
      <c r="Z505" s="158">
        <f t="shared" si="92"/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 t="shared" si="93"/>
        <v>0</v>
      </c>
      <c r="AG505" s="159" t="e">
        <f t="shared" si="87"/>
        <v>#DIV/0!</v>
      </c>
      <c r="AH505" s="160">
        <f t="shared" si="87"/>
        <v>0</v>
      </c>
      <c r="AI505" s="161">
        <f t="shared" si="88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>AE505-Y505</f>
        <v>#DIV/0!</v>
      </c>
      <c r="AN505" s="160">
        <f t="shared" si="90"/>
        <v>0</v>
      </c>
      <c r="AO505" s="349">
        <f t="shared" si="91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34" t="s">
        <v>37</v>
      </c>
      <c r="B506" s="3"/>
      <c r="C506" s="336" t="s">
        <v>490</v>
      </c>
      <c r="T506" s="6"/>
      <c r="U506" s="6"/>
      <c r="V506" s="351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/>
      <c r="AB506" s="170"/>
      <c r="AC506" s="172"/>
      <c r="AD506" s="173">
        <f>AF506/AF494</f>
        <v>-7.6117325025243446E-2</v>
      </c>
      <c r="AE506" s="175"/>
      <c r="AF506" s="172">
        <f>SUM(AF496:AF505)</f>
        <v>-44608.110000000015</v>
      </c>
      <c r="AG506" s="174"/>
      <c r="AH506" s="175">
        <f t="shared" si="87"/>
        <v>-44608.110000000015</v>
      </c>
      <c r="AI506" s="171" t="e">
        <f>AH506/Z506</f>
        <v>#DIV/0!</v>
      </c>
      <c r="AJ506" s="173">
        <f>AL506/AL494</f>
        <v>-0.18290653147366276</v>
      </c>
      <c r="AK506" s="175"/>
      <c r="AL506" s="172">
        <f>SUM(AL496:AL505)</f>
        <v>-151529.13000000018</v>
      </c>
      <c r="AM506" s="180"/>
      <c r="AN506" s="175">
        <f t="shared" si="90"/>
        <v>106921.02000000016</v>
      </c>
      <c r="AO506" s="346">
        <f t="shared" si="91"/>
        <v>-0.70561363349740103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34" t="s">
        <v>134</v>
      </c>
      <c r="B507" s="3"/>
      <c r="C507" s="336" t="s">
        <v>490</v>
      </c>
      <c r="T507" s="6"/>
      <c r="U507" s="6"/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/>
      <c r="AC507" s="158"/>
      <c r="AD507" s="165"/>
      <c r="AE507" s="164"/>
      <c r="AF507" s="158">
        <v>11538.489999999994</v>
      </c>
      <c r="AG507" s="159"/>
      <c r="AH507" s="160">
        <f t="shared" si="87"/>
        <v>11538.489999999994</v>
      </c>
      <c r="AI507" s="161">
        <f t="shared" ref="AI507:AI519" si="94">IF(Z507=0,0,AH507/Z507)</f>
        <v>0</v>
      </c>
      <c r="AJ507" s="165"/>
      <c r="AK507" s="164"/>
      <c r="AL507" s="158">
        <v>2522.1799999999821</v>
      </c>
      <c r="AM507" s="162"/>
      <c r="AN507" s="160">
        <f t="shared" si="90"/>
        <v>9016.3100000000122</v>
      </c>
      <c r="AO507" s="349">
        <f t="shared" si="91"/>
        <v>3.5748083007557256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34" t="s">
        <v>40</v>
      </c>
      <c r="B508" s="3"/>
      <c r="C508" s="336" t="s">
        <v>490</v>
      </c>
      <c r="T508" s="6"/>
      <c r="U508" s="6"/>
      <c r="V508" s="271" t="s">
        <v>40</v>
      </c>
      <c r="W508" s="163" t="s">
        <v>136</v>
      </c>
      <c r="X508" s="157"/>
      <c r="Y508" s="157"/>
      <c r="Z508" s="158">
        <f t="shared" ref="Z508:Z518" si="95">+SUMIF($C:$C,$V508,F:F)</f>
        <v>0</v>
      </c>
      <c r="AA508" s="157"/>
      <c r="AB508" s="157"/>
      <c r="AC508" s="158"/>
      <c r="AD508" s="165"/>
      <c r="AE508" s="164"/>
      <c r="AF508" s="158">
        <f t="shared" ref="AF508:AF511" si="96">+SUMIF($C:$C,$V508,L:L)</f>
        <v>76846.629999999976</v>
      </c>
      <c r="AG508" s="159"/>
      <c r="AH508" s="160">
        <f t="shared" si="87"/>
        <v>76846.629999999976</v>
      </c>
      <c r="AI508" s="161">
        <f t="shared" si="94"/>
        <v>0</v>
      </c>
      <c r="AJ508" s="165"/>
      <c r="AK508" s="164"/>
      <c r="AL508" s="158">
        <v>45636.330000000016</v>
      </c>
      <c r="AM508" s="162"/>
      <c r="AN508" s="160">
        <f t="shared" si="90"/>
        <v>31210.299999999959</v>
      </c>
      <c r="AO508" s="349">
        <f t="shared" si="91"/>
        <v>0.68389153992005813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34" t="s">
        <v>41</v>
      </c>
      <c r="B509" s="3"/>
      <c r="C509" s="336" t="s">
        <v>490</v>
      </c>
      <c r="T509" s="6"/>
      <c r="U509" s="6"/>
      <c r="V509" s="272" t="s">
        <v>41</v>
      </c>
      <c r="W509" s="166" t="s">
        <v>137</v>
      </c>
      <c r="X509" s="145"/>
      <c r="Y509" s="145"/>
      <c r="Z509" s="146">
        <f t="shared" si="95"/>
        <v>0</v>
      </c>
      <c r="AA509" s="145"/>
      <c r="AB509" s="145"/>
      <c r="AC509" s="146"/>
      <c r="AD509" s="168"/>
      <c r="AE509" s="167"/>
      <c r="AF509" s="146">
        <f t="shared" si="96"/>
        <v>46614.23000000001</v>
      </c>
      <c r="AG509" s="147"/>
      <c r="AH509" s="148">
        <f t="shared" si="87"/>
        <v>46614.23000000001</v>
      </c>
      <c r="AI509" s="169">
        <f t="shared" si="94"/>
        <v>0</v>
      </c>
      <c r="AJ509" s="168"/>
      <c r="AK509" s="167"/>
      <c r="AL509" s="146">
        <v>98155.829999999973</v>
      </c>
      <c r="AM509" s="150"/>
      <c r="AN509" s="148">
        <f t="shared" si="90"/>
        <v>-51541.599999999962</v>
      </c>
      <c r="AO509" s="343">
        <f t="shared" si="91"/>
        <v>-0.52509973172250668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34" t="s">
        <v>42</v>
      </c>
      <c r="B510" s="3"/>
      <c r="C510" s="336" t="s">
        <v>490</v>
      </c>
      <c r="T510" s="6"/>
      <c r="U510" s="6"/>
      <c r="V510" s="271" t="s">
        <v>42</v>
      </c>
      <c r="W510" s="163" t="s">
        <v>138</v>
      </c>
      <c r="X510" s="157"/>
      <c r="Y510" s="157"/>
      <c r="Z510" s="158">
        <f t="shared" si="95"/>
        <v>0</v>
      </c>
      <c r="AA510" s="157"/>
      <c r="AB510" s="157"/>
      <c r="AC510" s="158"/>
      <c r="AD510" s="165"/>
      <c r="AE510" s="164"/>
      <c r="AF510" s="158">
        <f t="shared" si="96"/>
        <v>53783.18</v>
      </c>
      <c r="AG510" s="159"/>
      <c r="AH510" s="160">
        <f t="shared" si="87"/>
        <v>53783.18</v>
      </c>
      <c r="AI510" s="161">
        <f t="shared" si="94"/>
        <v>0</v>
      </c>
      <c r="AJ510" s="165"/>
      <c r="AK510" s="164"/>
      <c r="AL510" s="158">
        <v>93760.670000000027</v>
      </c>
      <c r="AM510" s="162"/>
      <c r="AN510" s="160">
        <f t="shared" si="90"/>
        <v>-39977.490000000027</v>
      </c>
      <c r="AO510" s="349">
        <f t="shared" si="91"/>
        <v>-0.42637803249486184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34" t="s">
        <v>43</v>
      </c>
      <c r="B511" s="3"/>
      <c r="C511" s="336" t="s">
        <v>490</v>
      </c>
      <c r="T511" s="6"/>
      <c r="U511" s="6"/>
      <c r="V511" s="271" t="s">
        <v>43</v>
      </c>
      <c r="W511" s="163" t="s">
        <v>139</v>
      </c>
      <c r="X511" s="157"/>
      <c r="Y511" s="157"/>
      <c r="Z511" s="158">
        <f t="shared" si="95"/>
        <v>0</v>
      </c>
      <c r="AA511" s="157"/>
      <c r="AB511" s="157"/>
      <c r="AC511" s="158"/>
      <c r="AD511" s="165"/>
      <c r="AE511" s="164"/>
      <c r="AF511" s="158">
        <f t="shared" si="96"/>
        <v>9827.5999999999985</v>
      </c>
      <c r="AG511" s="159"/>
      <c r="AH511" s="160">
        <f t="shared" si="87"/>
        <v>9827.5999999999985</v>
      </c>
      <c r="AI511" s="161">
        <f t="shared" si="94"/>
        <v>0</v>
      </c>
      <c r="AJ511" s="165"/>
      <c r="AK511" s="164"/>
      <c r="AL511" s="158">
        <v>0</v>
      </c>
      <c r="AM511" s="162"/>
      <c r="AN511" s="160">
        <f t="shared" si="90"/>
        <v>9827.5999999999985</v>
      </c>
      <c r="AO511" s="349">
        <f t="shared" si="91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25" hidden="1" customHeight="1">
      <c r="A512" s="234" t="s">
        <v>19</v>
      </c>
      <c r="B512" s="3"/>
      <c r="C512" s="336" t="s">
        <v>490</v>
      </c>
      <c r="T512" s="6"/>
      <c r="U512" s="6"/>
      <c r="V512" s="271" t="s">
        <v>19</v>
      </c>
      <c r="W512" s="163"/>
      <c r="X512" s="157"/>
      <c r="Y512" s="157"/>
      <c r="Z512" s="158">
        <f t="shared" si="95"/>
        <v>0</v>
      </c>
      <c r="AA512" s="157"/>
      <c r="AB512" s="157"/>
      <c r="AC512" s="158"/>
      <c r="AD512" s="165"/>
      <c r="AE512" s="164"/>
      <c r="AF512" s="158">
        <f t="shared" ref="AF512:AF514" si="97">IFERROR(SUMIF($C:$C,$V512,L:L),0)</f>
        <v>0</v>
      </c>
      <c r="AG512" s="159"/>
      <c r="AH512" s="160">
        <f t="shared" ref="AH512:AH544" si="98">AF512-Z512</f>
        <v>0</v>
      </c>
      <c r="AI512" s="161">
        <f t="shared" si="94"/>
        <v>0</v>
      </c>
      <c r="AJ512" s="165"/>
      <c r="AK512" s="164"/>
      <c r="AL512" s="158">
        <v>0</v>
      </c>
      <c r="AM512" s="162"/>
      <c r="AN512" s="160">
        <f t="shared" ref="AN512:AN560" si="99">AF512-AL512</f>
        <v>0</v>
      </c>
      <c r="AO512" s="349">
        <f t="shared" si="91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25" hidden="1" customHeight="1">
      <c r="A513" s="234" t="s">
        <v>19</v>
      </c>
      <c r="B513" s="3"/>
      <c r="C513" s="336" t="s">
        <v>490</v>
      </c>
      <c r="T513" s="6"/>
      <c r="U513" s="6"/>
      <c r="V513" s="271" t="s">
        <v>19</v>
      </c>
      <c r="W513" s="163"/>
      <c r="X513" s="157"/>
      <c r="Y513" s="157"/>
      <c r="Z513" s="158">
        <f t="shared" si="95"/>
        <v>0</v>
      </c>
      <c r="AA513" s="157"/>
      <c r="AB513" s="157"/>
      <c r="AC513" s="158"/>
      <c r="AD513" s="165"/>
      <c r="AE513" s="164"/>
      <c r="AF513" s="158">
        <f t="shared" si="97"/>
        <v>0</v>
      </c>
      <c r="AG513" s="159"/>
      <c r="AH513" s="160">
        <f t="shared" si="98"/>
        <v>0</v>
      </c>
      <c r="AI513" s="161">
        <f t="shared" si="94"/>
        <v>0</v>
      </c>
      <c r="AJ513" s="165"/>
      <c r="AK513" s="164"/>
      <c r="AL513" s="158">
        <v>0</v>
      </c>
      <c r="AM513" s="162"/>
      <c r="AN513" s="160">
        <f t="shared" si="99"/>
        <v>0</v>
      </c>
      <c r="AO513" s="349">
        <f t="shared" si="91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25" hidden="1" customHeight="1">
      <c r="A514" s="234" t="s">
        <v>19</v>
      </c>
      <c r="B514" s="3"/>
      <c r="C514" s="336" t="s">
        <v>490</v>
      </c>
      <c r="T514" s="6"/>
      <c r="U514" s="6"/>
      <c r="V514" s="271" t="s">
        <v>19</v>
      </c>
      <c r="W514" s="163"/>
      <c r="X514" s="157"/>
      <c r="Y514" s="157"/>
      <c r="Z514" s="158">
        <f t="shared" si="95"/>
        <v>0</v>
      </c>
      <c r="AA514" s="157"/>
      <c r="AB514" s="157"/>
      <c r="AC514" s="158"/>
      <c r="AD514" s="165"/>
      <c r="AE514" s="164"/>
      <c r="AF514" s="158">
        <f t="shared" si="97"/>
        <v>0</v>
      </c>
      <c r="AG514" s="159"/>
      <c r="AH514" s="160">
        <f t="shared" si="98"/>
        <v>0</v>
      </c>
      <c r="AI514" s="161">
        <f t="shared" si="94"/>
        <v>0</v>
      </c>
      <c r="AJ514" s="165"/>
      <c r="AK514" s="164"/>
      <c r="AL514" s="158">
        <v>0</v>
      </c>
      <c r="AM514" s="162"/>
      <c r="AN514" s="160">
        <f t="shared" si="99"/>
        <v>0</v>
      </c>
      <c r="AO514" s="349">
        <f t="shared" si="91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34" t="s">
        <v>44</v>
      </c>
      <c r="B515" s="3"/>
      <c r="C515" s="336" t="s">
        <v>490</v>
      </c>
      <c r="T515" s="6"/>
      <c r="U515" s="6"/>
      <c r="V515" s="272" t="s">
        <v>44</v>
      </c>
      <c r="W515" s="166" t="s">
        <v>140</v>
      </c>
      <c r="X515" s="145"/>
      <c r="Y515" s="149" t="e">
        <f>Z515/(SUM(Z507:Z511)+E268-F268+Z496+Z497)</f>
        <v>#DIV/0!</v>
      </c>
      <c r="Z515" s="146">
        <f t="shared" si="95"/>
        <v>0</v>
      </c>
      <c r="AA515" s="145"/>
      <c r="AB515" s="145"/>
      <c r="AC515" s="146"/>
      <c r="AD515" s="168"/>
      <c r="AE515" s="167"/>
      <c r="AF515" s="146">
        <f t="shared" ref="AF515:AF518" si="100">+SUMIF($C:$C,$V515,L:L)</f>
        <v>44303.240000000005</v>
      </c>
      <c r="AG515" s="147"/>
      <c r="AH515" s="148">
        <f t="shared" si="98"/>
        <v>44303.240000000005</v>
      </c>
      <c r="AI515" s="169">
        <f t="shared" si="94"/>
        <v>0</v>
      </c>
      <c r="AJ515" s="168"/>
      <c r="AK515" s="167"/>
      <c r="AL515" s="146">
        <v>40334.779999999992</v>
      </c>
      <c r="AM515" s="150"/>
      <c r="AN515" s="148">
        <f t="shared" si="99"/>
        <v>3968.4600000000137</v>
      </c>
      <c r="AO515" s="343">
        <f t="shared" si="91"/>
        <v>9.8388041288436798E-2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34" t="s">
        <v>45</v>
      </c>
      <c r="B516" s="3"/>
      <c r="C516" s="336" t="s">
        <v>490</v>
      </c>
      <c r="T516" s="6"/>
      <c r="U516" s="6"/>
      <c r="V516" s="271" t="s">
        <v>45</v>
      </c>
      <c r="W516" s="163" t="s">
        <v>141</v>
      </c>
      <c r="X516" s="157"/>
      <c r="Y516" s="161" t="e">
        <f>Z516/(SUM(Z507:Z511)+E268-F268+Z496+Z497)</f>
        <v>#DIV/0!</v>
      </c>
      <c r="Z516" s="158">
        <f t="shared" si="95"/>
        <v>0</v>
      </c>
      <c r="AA516" s="157"/>
      <c r="AB516" s="157"/>
      <c r="AC516" s="158"/>
      <c r="AD516" s="165"/>
      <c r="AE516" s="164"/>
      <c r="AF516" s="158">
        <f t="shared" si="100"/>
        <v>44203.040000000008</v>
      </c>
      <c r="AG516" s="159"/>
      <c r="AH516" s="160">
        <f t="shared" si="98"/>
        <v>44203.040000000008</v>
      </c>
      <c r="AI516" s="161">
        <f t="shared" si="94"/>
        <v>0</v>
      </c>
      <c r="AJ516" s="165"/>
      <c r="AK516" s="164"/>
      <c r="AL516" s="158">
        <v>43183.060000000012</v>
      </c>
      <c r="AM516" s="162"/>
      <c r="AN516" s="160">
        <f t="shared" si="99"/>
        <v>1019.9799999999959</v>
      </c>
      <c r="AO516" s="349">
        <f t="shared" si="91"/>
        <v>2.3619910214792459E-2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34" t="s">
        <v>46</v>
      </c>
      <c r="B517" s="3"/>
      <c r="C517" s="336" t="s">
        <v>490</v>
      </c>
      <c r="T517" s="6"/>
      <c r="U517" s="6"/>
      <c r="V517" s="271" t="s">
        <v>46</v>
      </c>
      <c r="W517" s="163" t="s">
        <v>142</v>
      </c>
      <c r="X517" s="157"/>
      <c r="Y517" s="161" t="e">
        <f>Z517/(SUM(Z507:Z511)+E268-F268+Z497+Z496)</f>
        <v>#DIV/0!</v>
      </c>
      <c r="Z517" s="158">
        <f t="shared" si="95"/>
        <v>0</v>
      </c>
      <c r="AA517" s="157"/>
      <c r="AB517" s="157"/>
      <c r="AC517" s="158"/>
      <c r="AD517" s="165"/>
      <c r="AE517" s="164"/>
      <c r="AF517" s="158">
        <f t="shared" si="100"/>
        <v>12533.66</v>
      </c>
      <c r="AG517" s="159"/>
      <c r="AH517" s="160">
        <f t="shared" si="98"/>
        <v>12533.66</v>
      </c>
      <c r="AI517" s="161">
        <f t="shared" si="94"/>
        <v>0</v>
      </c>
      <c r="AJ517" s="165"/>
      <c r="AK517" s="164"/>
      <c r="AL517" s="158">
        <v>21788.750000000011</v>
      </c>
      <c r="AM517" s="162"/>
      <c r="AN517" s="160">
        <f t="shared" si="99"/>
        <v>-9255.0900000000111</v>
      </c>
      <c r="AO517" s="349">
        <f t="shared" si="91"/>
        <v>-0.42476461476679511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34" t="s">
        <v>47</v>
      </c>
      <c r="B518" s="3"/>
      <c r="C518" s="336" t="s">
        <v>490</v>
      </c>
      <c r="T518" s="6"/>
      <c r="U518" s="6"/>
      <c r="V518" s="271" t="s">
        <v>47</v>
      </c>
      <c r="W518" s="163"/>
      <c r="X518" s="157"/>
      <c r="Y518" s="157"/>
      <c r="Z518" s="158">
        <f t="shared" si="95"/>
        <v>0</v>
      </c>
      <c r="AA518" s="157"/>
      <c r="AB518" s="157"/>
      <c r="AC518" s="158"/>
      <c r="AD518" s="165"/>
      <c r="AE518" s="164"/>
      <c r="AF518" s="158">
        <f t="shared" si="100"/>
        <v>15015.040000000006</v>
      </c>
      <c r="AG518" s="159"/>
      <c r="AH518" s="160">
        <f t="shared" si="98"/>
        <v>15015.040000000006</v>
      </c>
      <c r="AI518" s="177">
        <f t="shared" si="94"/>
        <v>0</v>
      </c>
      <c r="AJ518" s="165"/>
      <c r="AK518" s="164"/>
      <c r="AL518" s="158">
        <v>1080.9199999999985</v>
      </c>
      <c r="AM518" s="162"/>
      <c r="AN518" s="160">
        <f t="shared" si="99"/>
        <v>13934.120000000008</v>
      </c>
      <c r="AO518" s="349">
        <f t="shared" si="91"/>
        <v>12.890981756281711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25" hidden="1" customHeight="1">
      <c r="A519" s="234" t="s">
        <v>19</v>
      </c>
      <c r="B519" s="3"/>
      <c r="C519" s="336" t="s">
        <v>490</v>
      </c>
      <c r="T519" s="6"/>
      <c r="U519" s="6"/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98"/>
        <v>0</v>
      </c>
      <c r="AI519" s="161">
        <f t="shared" si="94"/>
        <v>0</v>
      </c>
      <c r="AJ519" s="165"/>
      <c r="AK519" s="164"/>
      <c r="AL519" s="158">
        <f>IFERROR(SUMIF($C:$C,$V519,R:R),0)</f>
        <v>0</v>
      </c>
      <c r="AM519" s="162"/>
      <c r="AN519" s="160">
        <f t="shared" si="99"/>
        <v>0</v>
      </c>
      <c r="AO519" s="343">
        <f t="shared" si="91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34" t="s">
        <v>48</v>
      </c>
      <c r="B520" s="3"/>
      <c r="C520" s="336" t="s">
        <v>490</v>
      </c>
      <c r="T520" s="6"/>
      <c r="U520" s="6"/>
      <c r="V520" s="351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/>
      <c r="AB520" s="170"/>
      <c r="AC520" s="172"/>
      <c r="AD520" s="173">
        <f>AF520/AF494</f>
        <v>0.53693076106506132</v>
      </c>
      <c r="AE520" s="178"/>
      <c r="AF520" s="172">
        <f>SUM(AF507:AF519)</f>
        <v>314665.11</v>
      </c>
      <c r="AG520" s="174"/>
      <c r="AH520" s="175">
        <f t="shared" si="98"/>
        <v>314665.11</v>
      </c>
      <c r="AI520" s="171" t="e">
        <f>AH520/Z520</f>
        <v>#DIV/0!</v>
      </c>
      <c r="AJ520" s="173">
        <f>AL520/AL494</f>
        <v>0.41820511883638767</v>
      </c>
      <c r="AK520" s="178"/>
      <c r="AL520" s="172">
        <f>SUM(AL507:AL519)</f>
        <v>346462.51999999996</v>
      </c>
      <c r="AM520" s="180"/>
      <c r="AN520" s="175">
        <f t="shared" si="99"/>
        <v>-31797.409999999974</v>
      </c>
      <c r="AO520" s="346">
        <f t="shared" si="91"/>
        <v>-9.177734434304749E-2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34" t="s">
        <v>49</v>
      </c>
      <c r="B521" s="3"/>
      <c r="C521" s="336" t="s">
        <v>490</v>
      </c>
      <c r="T521" s="6"/>
      <c r="U521" s="6"/>
      <c r="V521" s="329" t="s">
        <v>49</v>
      </c>
      <c r="W521" s="181" t="s">
        <v>132</v>
      </c>
      <c r="X521" s="182"/>
      <c r="Y521" s="182"/>
      <c r="Z521" s="183">
        <f t="shared" ref="Z521:Z535" si="101">+SUMIF($C:$C,$V521,F:F)</f>
        <v>0</v>
      </c>
      <c r="AA521" s="182"/>
      <c r="AB521" s="182"/>
      <c r="AC521" s="183"/>
      <c r="AD521" s="184"/>
      <c r="AE521" s="185"/>
      <c r="AF521" s="183">
        <f t="shared" ref="AF521:AF525" si="102">+SUMIF($C:$C,$V521,L:L)</f>
        <v>5732.2299999999987</v>
      </c>
      <c r="AG521" s="184"/>
      <c r="AH521" s="186">
        <f t="shared" si="98"/>
        <v>5732.2299999999987</v>
      </c>
      <c r="AI521" s="187">
        <f t="shared" ref="AI521:AI538" si="103">IF(Z521=0,0,AH521/Z521)</f>
        <v>0</v>
      </c>
      <c r="AJ521" s="184"/>
      <c r="AK521" s="185"/>
      <c r="AL521" s="183">
        <v>5671.7099999999991</v>
      </c>
      <c r="AM521" s="188"/>
      <c r="AN521" s="186">
        <f t="shared" si="99"/>
        <v>60.519999999999527</v>
      </c>
      <c r="AO521" s="348">
        <f t="shared" si="91"/>
        <v>1.0670503252105544E-2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34" t="s">
        <v>50</v>
      </c>
      <c r="B522" s="3"/>
      <c r="C522" s="336" t="s">
        <v>490</v>
      </c>
      <c r="T522" s="6"/>
      <c r="U522" s="6"/>
      <c r="V522" s="271" t="s">
        <v>50</v>
      </c>
      <c r="W522" s="163" t="s">
        <v>143</v>
      </c>
      <c r="X522" s="157"/>
      <c r="Y522" s="157"/>
      <c r="Z522" s="158">
        <f t="shared" si="101"/>
        <v>0</v>
      </c>
      <c r="AA522" s="157"/>
      <c r="AB522" s="157"/>
      <c r="AC522" s="158"/>
      <c r="AD522" s="165"/>
      <c r="AE522" s="164"/>
      <c r="AF522" s="158">
        <f t="shared" si="102"/>
        <v>3817.7699999999986</v>
      </c>
      <c r="AG522" s="159"/>
      <c r="AH522" s="160">
        <f t="shared" si="98"/>
        <v>3817.7699999999986</v>
      </c>
      <c r="AI522" s="161">
        <f t="shared" si="103"/>
        <v>0</v>
      </c>
      <c r="AJ522" s="165"/>
      <c r="AK522" s="164"/>
      <c r="AL522" s="158">
        <v>6896.33</v>
      </c>
      <c r="AM522" s="162"/>
      <c r="AN522" s="160">
        <f t="shared" si="99"/>
        <v>-3078.5600000000013</v>
      </c>
      <c r="AO522" s="349">
        <f t="shared" si="91"/>
        <v>-0.44640555193849502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34" t="s">
        <v>51</v>
      </c>
      <c r="B523" s="3"/>
      <c r="C523" s="336" t="s">
        <v>490</v>
      </c>
      <c r="T523" s="6"/>
      <c r="U523" s="386"/>
      <c r="V523" s="272" t="s">
        <v>51</v>
      </c>
      <c r="W523" s="166" t="s">
        <v>144</v>
      </c>
      <c r="X523" s="145"/>
      <c r="Y523" s="145"/>
      <c r="Z523" s="146">
        <f t="shared" si="101"/>
        <v>0</v>
      </c>
      <c r="AA523" s="145"/>
      <c r="AB523" s="145"/>
      <c r="AC523" s="146"/>
      <c r="AD523" s="168"/>
      <c r="AE523" s="167"/>
      <c r="AF523" s="146">
        <f t="shared" si="102"/>
        <v>16391.28999999999</v>
      </c>
      <c r="AG523" s="147"/>
      <c r="AH523" s="148">
        <f t="shared" si="98"/>
        <v>16391.28999999999</v>
      </c>
      <c r="AI523" s="169">
        <f t="shared" si="103"/>
        <v>0</v>
      </c>
      <c r="AJ523" s="168"/>
      <c r="AK523" s="167"/>
      <c r="AL523" s="146">
        <v>12036.199999999992</v>
      </c>
      <c r="AM523" s="150"/>
      <c r="AN523" s="148">
        <f t="shared" si="99"/>
        <v>4355.0899999999983</v>
      </c>
      <c r="AO523" s="343">
        <f t="shared" si="91"/>
        <v>0.36183263820807243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34" t="s">
        <v>52</v>
      </c>
      <c r="B524" s="3"/>
      <c r="C524" s="336" t="s">
        <v>490</v>
      </c>
      <c r="T524" s="6"/>
      <c r="U524" s="386"/>
      <c r="V524" s="271" t="s">
        <v>52</v>
      </c>
      <c r="W524" s="163" t="s">
        <v>145</v>
      </c>
      <c r="X524" s="157"/>
      <c r="Y524" s="157"/>
      <c r="Z524" s="158">
        <f t="shared" si="101"/>
        <v>0</v>
      </c>
      <c r="AA524" s="157"/>
      <c r="AB524" s="157"/>
      <c r="AC524" s="158"/>
      <c r="AD524" s="165"/>
      <c r="AE524" s="164"/>
      <c r="AF524" s="158">
        <f t="shared" si="102"/>
        <v>14908.369999999995</v>
      </c>
      <c r="AG524" s="159"/>
      <c r="AH524" s="160">
        <f t="shared" si="98"/>
        <v>14908.369999999995</v>
      </c>
      <c r="AI524" s="161">
        <f t="shared" si="103"/>
        <v>0</v>
      </c>
      <c r="AJ524" s="165"/>
      <c r="AK524" s="164"/>
      <c r="AL524" s="158">
        <v>11173.099999999997</v>
      </c>
      <c r="AM524" s="162"/>
      <c r="AN524" s="160">
        <f t="shared" si="99"/>
        <v>3735.2699999999986</v>
      </c>
      <c r="AO524" s="349">
        <f t="shared" si="91"/>
        <v>0.33430918903437717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34" t="s">
        <v>53</v>
      </c>
      <c r="B525" s="3"/>
      <c r="C525" s="336" t="s">
        <v>490</v>
      </c>
      <c r="T525" s="6"/>
      <c r="U525" s="386"/>
      <c r="V525" s="271" t="s">
        <v>53</v>
      </c>
      <c r="W525" s="163" t="s">
        <v>146</v>
      </c>
      <c r="X525" s="157"/>
      <c r="Y525" s="157"/>
      <c r="Z525" s="158">
        <f t="shared" si="101"/>
        <v>0</v>
      </c>
      <c r="AA525" s="157"/>
      <c r="AB525" s="157"/>
      <c r="AC525" s="158"/>
      <c r="AD525" s="165"/>
      <c r="AE525" s="164"/>
      <c r="AF525" s="158">
        <f t="shared" si="102"/>
        <v>-2169.4999999999991</v>
      </c>
      <c r="AG525" s="159"/>
      <c r="AH525" s="160">
        <f t="shared" si="98"/>
        <v>-2169.4999999999991</v>
      </c>
      <c r="AI525" s="161">
        <f t="shared" si="103"/>
        <v>0</v>
      </c>
      <c r="AJ525" s="165"/>
      <c r="AK525" s="164"/>
      <c r="AL525" s="158">
        <v>34438.07</v>
      </c>
      <c r="AM525" s="162"/>
      <c r="AN525" s="160">
        <f t="shared" si="99"/>
        <v>-36607.57</v>
      </c>
      <c r="AO525" s="349">
        <f t="shared" si="91"/>
        <v>-1.0629971424066447</v>
      </c>
      <c r="AP525" s="6"/>
      <c r="AQ525" s="6" t="s">
        <v>524</v>
      </c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34" t="s">
        <v>54</v>
      </c>
      <c r="B526" s="3"/>
      <c r="C526" s="336" t="s">
        <v>490</v>
      </c>
      <c r="T526" s="6"/>
      <c r="U526" s="6"/>
      <c r="V526" s="271" t="s">
        <v>54</v>
      </c>
      <c r="W526" s="163" t="s">
        <v>147</v>
      </c>
      <c r="X526" s="157"/>
      <c r="Y526" s="157"/>
      <c r="Z526" s="158">
        <f t="shared" si="101"/>
        <v>0</v>
      </c>
      <c r="AA526" s="157"/>
      <c r="AB526" s="157"/>
      <c r="AC526" s="158"/>
      <c r="AD526" s="165"/>
      <c r="AE526" s="164"/>
      <c r="AF526" s="158">
        <v>22691.139999999996</v>
      </c>
      <c r="AG526" s="159"/>
      <c r="AH526" s="160">
        <f t="shared" si="98"/>
        <v>22691.139999999996</v>
      </c>
      <c r="AI526" s="161">
        <f t="shared" si="103"/>
        <v>0</v>
      </c>
      <c r="AJ526" s="165"/>
      <c r="AK526" s="164"/>
      <c r="AL526" s="158">
        <v>33892.07</v>
      </c>
      <c r="AM526" s="162"/>
      <c r="AN526" s="160">
        <f t="shared" si="99"/>
        <v>-11200.930000000004</v>
      </c>
      <c r="AO526" s="349">
        <f t="shared" si="91"/>
        <v>-0.33048822335136224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6" t="s">
        <v>490</v>
      </c>
      <c r="T527" s="6"/>
      <c r="U527" s="6"/>
      <c r="V527" s="329" t="s">
        <v>93</v>
      </c>
      <c r="W527" s="181"/>
      <c r="X527" s="182"/>
      <c r="Y527" s="182"/>
      <c r="Z527" s="183">
        <f t="shared" si="101"/>
        <v>0</v>
      </c>
      <c r="AA527" s="182"/>
      <c r="AB527" s="182"/>
      <c r="AC527" s="183"/>
      <c r="AD527" s="184"/>
      <c r="AE527" s="185"/>
      <c r="AF527" s="183">
        <f t="shared" ref="AF527:AF532" si="104">+SUMIF($C:$C,$V527,L:L)</f>
        <v>0</v>
      </c>
      <c r="AG527" s="355"/>
      <c r="AH527" s="186">
        <f t="shared" si="98"/>
        <v>0</v>
      </c>
      <c r="AI527" s="187">
        <f t="shared" si="103"/>
        <v>0</v>
      </c>
      <c r="AJ527" s="184"/>
      <c r="AK527" s="185"/>
      <c r="AL527" s="183">
        <v>0</v>
      </c>
      <c r="AM527" s="188"/>
      <c r="AN527" s="186">
        <f t="shared" si="99"/>
        <v>0</v>
      </c>
      <c r="AO527" s="348">
        <f t="shared" si="91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34" t="s">
        <v>55</v>
      </c>
      <c r="B528" s="3"/>
      <c r="C528" s="336" t="s">
        <v>490</v>
      </c>
      <c r="T528" s="6"/>
      <c r="U528" s="6"/>
      <c r="V528" s="271" t="s">
        <v>55</v>
      </c>
      <c r="W528" s="163" t="s">
        <v>148</v>
      </c>
      <c r="X528" s="157"/>
      <c r="Y528" s="164"/>
      <c r="Z528" s="158">
        <f t="shared" si="101"/>
        <v>0</v>
      </c>
      <c r="AA528" s="157"/>
      <c r="AB528" s="164"/>
      <c r="AC528" s="158"/>
      <c r="AD528" s="165"/>
      <c r="AE528" s="164"/>
      <c r="AF528" s="158">
        <f t="shared" si="104"/>
        <v>11315.549999999997</v>
      </c>
      <c r="AG528" s="159"/>
      <c r="AH528" s="160">
        <f t="shared" si="98"/>
        <v>11315.549999999997</v>
      </c>
      <c r="AI528" s="161">
        <f t="shared" si="103"/>
        <v>0</v>
      </c>
      <c r="AJ528" s="165"/>
      <c r="AK528" s="164"/>
      <c r="AL528" s="158">
        <v>15438.829999999998</v>
      </c>
      <c r="AM528" s="162"/>
      <c r="AN528" s="160">
        <f t="shared" si="99"/>
        <v>-4123.2800000000007</v>
      </c>
      <c r="AO528" s="349">
        <f t="shared" si="91"/>
        <v>-0.2670720514443129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34" t="s">
        <v>56</v>
      </c>
      <c r="B529" s="3"/>
      <c r="C529" s="336" t="s">
        <v>490</v>
      </c>
      <c r="T529" s="6"/>
      <c r="U529" s="6"/>
      <c r="V529" s="271" t="s">
        <v>56</v>
      </c>
      <c r="W529" s="163" t="s">
        <v>149</v>
      </c>
      <c r="X529" s="157"/>
      <c r="Y529" s="157"/>
      <c r="Z529" s="158">
        <f t="shared" si="101"/>
        <v>0</v>
      </c>
      <c r="AA529" s="157"/>
      <c r="AB529" s="157"/>
      <c r="AC529" s="158"/>
      <c r="AD529" s="165"/>
      <c r="AE529" s="164"/>
      <c r="AF529" s="158">
        <f t="shared" si="104"/>
        <v>2687.8500000000004</v>
      </c>
      <c r="AG529" s="159"/>
      <c r="AH529" s="160">
        <f t="shared" si="98"/>
        <v>2687.8500000000004</v>
      </c>
      <c r="AI529" s="177">
        <f t="shared" si="103"/>
        <v>0</v>
      </c>
      <c r="AJ529" s="165"/>
      <c r="AK529" s="164"/>
      <c r="AL529" s="158">
        <v>0</v>
      </c>
      <c r="AM529" s="162"/>
      <c r="AN529" s="160">
        <f t="shared" si="99"/>
        <v>2687.8500000000004</v>
      </c>
      <c r="AO529" s="349">
        <f t="shared" si="91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34" t="s">
        <v>57</v>
      </c>
      <c r="B530" s="3"/>
      <c r="C530" s="336" t="s">
        <v>490</v>
      </c>
      <c r="T530" s="6"/>
      <c r="U530" s="6"/>
      <c r="V530" s="271" t="s">
        <v>57</v>
      </c>
      <c r="W530" s="163" t="s">
        <v>150</v>
      </c>
      <c r="X530" s="157"/>
      <c r="Y530" s="157"/>
      <c r="Z530" s="158">
        <f t="shared" si="101"/>
        <v>0</v>
      </c>
      <c r="AA530" s="157"/>
      <c r="AB530" s="157"/>
      <c r="AC530" s="158"/>
      <c r="AD530" s="165"/>
      <c r="AE530" s="164"/>
      <c r="AF530" s="158">
        <f t="shared" si="104"/>
        <v>1367.8299999999981</v>
      </c>
      <c r="AG530" s="159"/>
      <c r="AH530" s="160">
        <f t="shared" si="98"/>
        <v>1367.8299999999981</v>
      </c>
      <c r="AI530" s="161">
        <f t="shared" si="103"/>
        <v>0</v>
      </c>
      <c r="AJ530" s="165"/>
      <c r="AK530" s="164"/>
      <c r="AL530" s="158">
        <v>4226.6199999999981</v>
      </c>
      <c r="AM530" s="162"/>
      <c r="AN530" s="160">
        <f t="shared" si="99"/>
        <v>-2858.79</v>
      </c>
      <c r="AO530" s="349">
        <f t="shared" si="91"/>
        <v>-0.67637734170566577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34" t="s">
        <v>58</v>
      </c>
      <c r="B531" s="3"/>
      <c r="C531" s="336" t="s">
        <v>490</v>
      </c>
      <c r="T531" s="6"/>
      <c r="U531" s="6"/>
      <c r="V531" s="271" t="s">
        <v>58</v>
      </c>
      <c r="W531" s="163" t="s">
        <v>151</v>
      </c>
      <c r="X531" s="157"/>
      <c r="Y531" s="157"/>
      <c r="Z531" s="158">
        <f t="shared" si="101"/>
        <v>0</v>
      </c>
      <c r="AA531" s="157"/>
      <c r="AB531" s="157"/>
      <c r="AC531" s="158"/>
      <c r="AD531" s="165"/>
      <c r="AE531" s="164"/>
      <c r="AF531" s="158">
        <f t="shared" si="104"/>
        <v>2767.6400000000008</v>
      </c>
      <c r="AG531" s="159"/>
      <c r="AH531" s="160">
        <f t="shared" si="98"/>
        <v>2767.6400000000008</v>
      </c>
      <c r="AI531" s="177">
        <f t="shared" si="103"/>
        <v>0</v>
      </c>
      <c r="AJ531" s="165"/>
      <c r="AK531" s="164"/>
      <c r="AL531" s="158">
        <v>581.55000000000064</v>
      </c>
      <c r="AM531" s="162"/>
      <c r="AN531" s="160">
        <f t="shared" si="99"/>
        <v>2186.09</v>
      </c>
      <c r="AO531" s="349">
        <f t="shared" si="91"/>
        <v>3.7590748860802989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34" t="s">
        <v>59</v>
      </c>
      <c r="B532" s="3"/>
      <c r="C532" s="336" t="s">
        <v>490</v>
      </c>
      <c r="T532" s="6"/>
      <c r="U532" s="6"/>
      <c r="V532" s="271" t="s">
        <v>59</v>
      </c>
      <c r="W532" s="163" t="s">
        <v>152</v>
      </c>
      <c r="X532" s="157"/>
      <c r="Y532" s="157"/>
      <c r="Z532" s="158">
        <f t="shared" si="101"/>
        <v>0</v>
      </c>
      <c r="AA532" s="157"/>
      <c r="AB532" s="157"/>
      <c r="AC532" s="158"/>
      <c r="AD532" s="165"/>
      <c r="AE532" s="164"/>
      <c r="AF532" s="158">
        <f t="shared" si="104"/>
        <v>3715.949999999998</v>
      </c>
      <c r="AG532" s="159"/>
      <c r="AH532" s="160">
        <f t="shared" si="98"/>
        <v>3715.949999999998</v>
      </c>
      <c r="AI532" s="161">
        <f t="shared" si="103"/>
        <v>0</v>
      </c>
      <c r="AJ532" s="165"/>
      <c r="AK532" s="164"/>
      <c r="AL532" s="158">
        <v>5647.37</v>
      </c>
      <c r="AM532" s="162"/>
      <c r="AN532" s="160">
        <f t="shared" si="99"/>
        <v>-1931.4200000000019</v>
      </c>
      <c r="AO532" s="349">
        <f t="shared" si="91"/>
        <v>-0.34200344585178621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34" t="s">
        <v>60</v>
      </c>
      <c r="B533" s="3"/>
      <c r="C533" s="336" t="s">
        <v>490</v>
      </c>
      <c r="T533" s="6"/>
      <c r="U533" s="6"/>
      <c r="V533" s="271" t="s">
        <v>60</v>
      </c>
      <c r="W533" s="163" t="s">
        <v>153</v>
      </c>
      <c r="X533" s="157"/>
      <c r="Y533" s="164"/>
      <c r="Z533" s="158">
        <f t="shared" si="101"/>
        <v>0</v>
      </c>
      <c r="AA533" s="157"/>
      <c r="AB533" s="164"/>
      <c r="AC533" s="158"/>
      <c r="AD533" s="165"/>
      <c r="AE533" s="164"/>
      <c r="AF533" s="158">
        <v>2724.3299999999995</v>
      </c>
      <c r="AG533" s="159"/>
      <c r="AH533" s="160">
        <f t="shared" si="98"/>
        <v>2724.3299999999995</v>
      </c>
      <c r="AI533" s="177">
        <f t="shared" si="103"/>
        <v>0</v>
      </c>
      <c r="AJ533" s="165"/>
      <c r="AK533" s="164"/>
      <c r="AL533" s="158">
        <v>14257.789999999999</v>
      </c>
      <c r="AM533" s="162"/>
      <c r="AN533" s="160">
        <f t="shared" si="99"/>
        <v>-11533.46</v>
      </c>
      <c r="AO533" s="349">
        <f t="shared" si="91"/>
        <v>-0.80892340257501338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34" t="s">
        <v>61</v>
      </c>
      <c r="B534" s="3"/>
      <c r="C534" s="336" t="s">
        <v>490</v>
      </c>
      <c r="T534" s="6"/>
      <c r="U534" s="6"/>
      <c r="V534" s="271" t="s">
        <v>61</v>
      </c>
      <c r="W534" s="163" t="s">
        <v>154</v>
      </c>
      <c r="X534" s="157"/>
      <c r="Y534" s="164"/>
      <c r="Z534" s="158">
        <f t="shared" si="101"/>
        <v>0</v>
      </c>
      <c r="AA534" s="157"/>
      <c r="AB534" s="164"/>
      <c r="AC534" s="158"/>
      <c r="AD534" s="165"/>
      <c r="AE534" s="164"/>
      <c r="AF534" s="158">
        <f>+SUMIF($C:$C,$V534,L:L)</f>
        <v>6511.4500000000007</v>
      </c>
      <c r="AG534" s="159"/>
      <c r="AH534" s="160">
        <f t="shared" si="98"/>
        <v>6511.4500000000007</v>
      </c>
      <c r="AI534" s="161">
        <f t="shared" si="103"/>
        <v>0</v>
      </c>
      <c r="AJ534" s="165"/>
      <c r="AK534" s="164"/>
      <c r="AL534" s="158">
        <v>7885.760000000002</v>
      </c>
      <c r="AM534" s="162"/>
      <c r="AN534" s="160">
        <f t="shared" si="99"/>
        <v>-1374.3100000000013</v>
      </c>
      <c r="AO534" s="349">
        <f t="shared" si="91"/>
        <v>-0.1742774317250336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34" t="s">
        <v>62</v>
      </c>
      <c r="B535" s="3"/>
      <c r="C535" s="336" t="s">
        <v>490</v>
      </c>
      <c r="T535" s="6"/>
      <c r="U535" s="6"/>
      <c r="V535" s="271" t="s">
        <v>62</v>
      </c>
      <c r="W535" s="163" t="s">
        <v>155</v>
      </c>
      <c r="X535" s="157"/>
      <c r="Y535" s="161" t="e">
        <f>Z535/Z493</f>
        <v>#REF!</v>
      </c>
      <c r="Z535" s="158">
        <f t="shared" si="101"/>
        <v>0</v>
      </c>
      <c r="AA535" s="157"/>
      <c r="AB535" s="164"/>
      <c r="AC535" s="158"/>
      <c r="AD535" s="165"/>
      <c r="AE535" s="164"/>
      <c r="AF535" s="158">
        <v>8016.9199999999983</v>
      </c>
      <c r="AG535" s="159"/>
      <c r="AH535" s="160">
        <f t="shared" si="98"/>
        <v>8016.9199999999983</v>
      </c>
      <c r="AI535" s="161">
        <f t="shared" si="103"/>
        <v>0</v>
      </c>
      <c r="AJ535" s="165"/>
      <c r="AK535" s="164"/>
      <c r="AL535" s="158">
        <v>1282.04</v>
      </c>
      <c r="AM535" s="162"/>
      <c r="AN535" s="160">
        <f t="shared" si="99"/>
        <v>6734.8799999999983</v>
      </c>
      <c r="AO535" s="349">
        <f t="shared" si="91"/>
        <v>5.2532526286231311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25" customHeight="1">
      <c r="A536" s="234" t="s">
        <v>19</v>
      </c>
      <c r="B536" s="3"/>
      <c r="C536" s="336" t="s">
        <v>490</v>
      </c>
      <c r="T536" s="6"/>
      <c r="U536" s="6"/>
      <c r="V536" s="271" t="s">
        <v>417</v>
      </c>
      <c r="W536" s="163"/>
      <c r="X536" s="157"/>
      <c r="Y536" s="164"/>
      <c r="Z536" s="158">
        <f t="shared" ref="Z536:Z538" si="105">IFERROR(SUMIF($C:$C,$V536,F:F),0)</f>
        <v>0</v>
      </c>
      <c r="AA536" s="157"/>
      <c r="AB536" s="157"/>
      <c r="AC536" s="158"/>
      <c r="AD536" s="165"/>
      <c r="AE536" s="164"/>
      <c r="AF536" s="158">
        <f t="shared" ref="AF536:AF538" si="106">IFERROR(SUMIF($C:$C,$V536,L:L),0)</f>
        <v>2278.380000000001</v>
      </c>
      <c r="AG536" s="159"/>
      <c r="AH536" s="160">
        <f t="shared" si="98"/>
        <v>2278.380000000001</v>
      </c>
      <c r="AI536" s="161">
        <f t="shared" si="103"/>
        <v>0</v>
      </c>
      <c r="AJ536" s="165"/>
      <c r="AK536" s="164"/>
      <c r="AL536" s="158">
        <f t="shared" ref="AL536:AL538" si="107">IFERROR(SUMIF($C:$C,$V536,R:R),0)</f>
        <v>0</v>
      </c>
      <c r="AM536" s="162"/>
      <c r="AN536" s="160">
        <f t="shared" si="99"/>
        <v>2278.380000000001</v>
      </c>
      <c r="AO536" s="349">
        <f t="shared" si="91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25" hidden="1" customHeight="1">
      <c r="A537" s="234" t="s">
        <v>19</v>
      </c>
      <c r="B537" s="3"/>
      <c r="C537" s="336" t="s">
        <v>490</v>
      </c>
      <c r="T537" s="6"/>
      <c r="U537" s="6"/>
      <c r="V537" s="271" t="s">
        <v>19</v>
      </c>
      <c r="W537" s="163"/>
      <c r="X537" s="157"/>
      <c r="Y537" s="164"/>
      <c r="Z537" s="158">
        <f t="shared" si="105"/>
        <v>0</v>
      </c>
      <c r="AA537" s="157"/>
      <c r="AB537" s="157"/>
      <c r="AC537" s="158"/>
      <c r="AD537" s="165"/>
      <c r="AE537" s="164"/>
      <c r="AF537" s="158">
        <f t="shared" si="106"/>
        <v>0</v>
      </c>
      <c r="AG537" s="159"/>
      <c r="AH537" s="160">
        <f t="shared" si="98"/>
        <v>0</v>
      </c>
      <c r="AI537" s="161">
        <f t="shared" si="103"/>
        <v>0</v>
      </c>
      <c r="AJ537" s="165"/>
      <c r="AK537" s="164"/>
      <c r="AL537" s="158">
        <f t="shared" si="107"/>
        <v>0</v>
      </c>
      <c r="AM537" s="162"/>
      <c r="AN537" s="160">
        <f t="shared" si="99"/>
        <v>0</v>
      </c>
      <c r="AO537" s="349">
        <f t="shared" si="91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25" hidden="1" customHeight="1">
      <c r="A538" s="234" t="s">
        <v>19</v>
      </c>
      <c r="B538" s="3"/>
      <c r="C538" s="336" t="s">
        <v>490</v>
      </c>
      <c r="T538" s="6"/>
      <c r="U538" s="6"/>
      <c r="V538" s="271" t="s">
        <v>19</v>
      </c>
      <c r="W538" s="163"/>
      <c r="X538" s="157"/>
      <c r="Y538" s="164"/>
      <c r="Z538" s="158">
        <f t="shared" si="105"/>
        <v>0</v>
      </c>
      <c r="AA538" s="157"/>
      <c r="AB538" s="157"/>
      <c r="AC538" s="158"/>
      <c r="AD538" s="165"/>
      <c r="AE538" s="164"/>
      <c r="AF538" s="158">
        <f t="shared" si="106"/>
        <v>0</v>
      </c>
      <c r="AG538" s="159"/>
      <c r="AH538" s="160">
        <f t="shared" si="98"/>
        <v>0</v>
      </c>
      <c r="AI538" s="161">
        <f t="shared" si="103"/>
        <v>0</v>
      </c>
      <c r="AJ538" s="165"/>
      <c r="AK538" s="164"/>
      <c r="AL538" s="158">
        <f t="shared" si="107"/>
        <v>0</v>
      </c>
      <c r="AM538" s="162"/>
      <c r="AN538" s="160">
        <f t="shared" si="99"/>
        <v>0</v>
      </c>
      <c r="AO538" s="349">
        <f t="shared" si="91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34" t="s">
        <v>63</v>
      </c>
      <c r="B539" s="3"/>
      <c r="C539" s="336" t="s">
        <v>490</v>
      </c>
      <c r="T539" s="6"/>
      <c r="U539" s="6"/>
      <c r="V539" s="351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/>
      <c r="AB539" s="170"/>
      <c r="AC539" s="172"/>
      <c r="AD539" s="173">
        <f>AF539/AF494</f>
        <v>0.17534038521434647</v>
      </c>
      <c r="AE539" s="170"/>
      <c r="AF539" s="172">
        <f>+SUM(AF521:AF538)</f>
        <v>102757.19999999998</v>
      </c>
      <c r="AG539" s="179"/>
      <c r="AH539" s="356">
        <f>+SUM(AH521:AH538)</f>
        <v>102757.19999999998</v>
      </c>
      <c r="AI539" s="171" t="e">
        <f>AH539/Z539</f>
        <v>#DIV/0!</v>
      </c>
      <c r="AJ539" s="173">
        <f>AL539/AL494</f>
        <v>0.18519792783924433</v>
      </c>
      <c r="AK539" s="170"/>
      <c r="AL539" s="172">
        <f>+SUM(AL521:AL538)</f>
        <v>153427.44</v>
      </c>
      <c r="AM539" s="180"/>
      <c r="AN539" s="175">
        <f t="shared" si="99"/>
        <v>-50670.24000000002</v>
      </c>
      <c r="AO539" s="357">
        <f t="shared" si="91"/>
        <v>-0.3302553962967773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34" t="s">
        <v>156</v>
      </c>
      <c r="B540" s="3"/>
      <c r="C540" s="336" t="s">
        <v>490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/>
      <c r="AC540" s="158"/>
      <c r="AD540" s="165"/>
      <c r="AE540" s="164"/>
      <c r="AF540" s="158">
        <v>71050</v>
      </c>
      <c r="AG540" s="159"/>
      <c r="AH540" s="160">
        <f t="shared" ref="AH540:AH548" si="108">AF540-Z540</f>
        <v>71050</v>
      </c>
      <c r="AI540" s="161">
        <f t="shared" ref="AI540:AI548" si="109">IF(Z540=0,0,AH540/Z540)</f>
        <v>0</v>
      </c>
      <c r="AJ540" s="165"/>
      <c r="AK540" s="164"/>
      <c r="AL540" s="158">
        <v>80049.989999999991</v>
      </c>
      <c r="AM540" s="162"/>
      <c r="AN540" s="160">
        <f t="shared" si="99"/>
        <v>-8999.9899999999907</v>
      </c>
      <c r="AO540" s="349">
        <f t="shared" si="91"/>
        <v>-0.11242962054086443</v>
      </c>
      <c r="AP540" s="6"/>
      <c r="AQ540" s="454">
        <v>71050</v>
      </c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34" t="s">
        <v>158</v>
      </c>
      <c r="B541" s="3"/>
      <c r="C541" s="336" t="s">
        <v>490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/>
      <c r="AC541" s="158"/>
      <c r="AD541" s="165"/>
      <c r="AE541" s="164"/>
      <c r="AF541" s="158">
        <v>7053.8899999999976</v>
      </c>
      <c r="AG541" s="159"/>
      <c r="AH541" s="160">
        <f t="shared" si="108"/>
        <v>7053.8899999999976</v>
      </c>
      <c r="AI541" s="161">
        <f t="shared" si="109"/>
        <v>0</v>
      </c>
      <c r="AJ541" s="165"/>
      <c r="AK541" s="164"/>
      <c r="AL541" s="158">
        <v>12238</v>
      </c>
      <c r="AM541" s="162"/>
      <c r="AN541" s="160">
        <f t="shared" si="99"/>
        <v>-5184.1100000000024</v>
      </c>
      <c r="AO541" s="349">
        <f t="shared" si="91"/>
        <v>-0.4236076156234681</v>
      </c>
      <c r="AP541" s="6"/>
      <c r="AQ541" s="454">
        <v>7054</v>
      </c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34" t="s">
        <v>160</v>
      </c>
      <c r="B542" s="3"/>
      <c r="C542" s="336" t="s">
        <v>490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/>
      <c r="AC542" s="146"/>
      <c r="AD542" s="168"/>
      <c r="AE542" s="167"/>
      <c r="AF542" s="146">
        <v>14727.609999999999</v>
      </c>
      <c r="AG542" s="147"/>
      <c r="AH542" s="148">
        <f t="shared" si="108"/>
        <v>14727.609999999999</v>
      </c>
      <c r="AI542" s="169">
        <f t="shared" si="109"/>
        <v>0</v>
      </c>
      <c r="AJ542" s="168"/>
      <c r="AK542" s="167"/>
      <c r="AL542" s="146">
        <v>10000</v>
      </c>
      <c r="AM542" s="150"/>
      <c r="AN542" s="148">
        <f t="shared" si="99"/>
        <v>4727.6099999999988</v>
      </c>
      <c r="AO542" s="343">
        <f t="shared" si="91"/>
        <v>0.47276099999999988</v>
      </c>
      <c r="AP542" s="6"/>
      <c r="AQ542" s="454">
        <v>14728</v>
      </c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25" hidden="1" customHeight="1">
      <c r="A543" s="234" t="s">
        <v>162</v>
      </c>
      <c r="B543" s="3"/>
      <c r="C543" s="336" t="s">
        <v>490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/>
      <c r="AC543" s="158"/>
      <c r="AD543" s="165"/>
      <c r="AE543" s="164"/>
      <c r="AF543" s="158">
        <v>0</v>
      </c>
      <c r="AG543" s="159"/>
      <c r="AH543" s="160">
        <f t="shared" si="108"/>
        <v>0</v>
      </c>
      <c r="AI543" s="161">
        <f t="shared" si="109"/>
        <v>0</v>
      </c>
      <c r="AJ543" s="165"/>
      <c r="AK543" s="164"/>
      <c r="AL543" s="158">
        <v>0</v>
      </c>
      <c r="AM543" s="162"/>
      <c r="AN543" s="160">
        <f t="shared" si="99"/>
        <v>0</v>
      </c>
      <c r="AO543" s="349">
        <f t="shared" si="91"/>
        <v>0</v>
      </c>
      <c r="AP543" s="6"/>
      <c r="AQ543" s="454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34" t="s">
        <v>163</v>
      </c>
      <c r="B544" s="3"/>
      <c r="C544" s="336" t="s">
        <v>490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/>
      <c r="AC544" s="146"/>
      <c r="AD544" s="168"/>
      <c r="AE544" s="167"/>
      <c r="AF544" s="146">
        <v>7841.2899999999991</v>
      </c>
      <c r="AG544" s="147"/>
      <c r="AH544" s="148">
        <f t="shared" si="108"/>
        <v>7841.2899999999991</v>
      </c>
      <c r="AI544" s="169">
        <f t="shared" si="109"/>
        <v>0</v>
      </c>
      <c r="AJ544" s="168"/>
      <c r="AK544" s="167"/>
      <c r="AL544" s="146">
        <v>13073.610000000006</v>
      </c>
      <c r="AM544" s="150"/>
      <c r="AN544" s="148">
        <f t="shared" si="99"/>
        <v>-5232.320000000007</v>
      </c>
      <c r="AO544" s="343">
        <f t="shared" si="91"/>
        <v>-0.40021998514564872</v>
      </c>
      <c r="AP544" s="6"/>
      <c r="AQ544" s="454">
        <v>7841</v>
      </c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34" t="s">
        <v>165</v>
      </c>
      <c r="B545" s="3"/>
      <c r="C545" s="336" t="s">
        <v>490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/>
      <c r="AC545" s="158"/>
      <c r="AD545" s="165"/>
      <c r="AE545" s="164"/>
      <c r="AF545" s="158">
        <v>11100</v>
      </c>
      <c r="AG545" s="159"/>
      <c r="AH545" s="160">
        <f t="shared" si="108"/>
        <v>11100</v>
      </c>
      <c r="AI545" s="161">
        <f t="shared" si="109"/>
        <v>0</v>
      </c>
      <c r="AJ545" s="165"/>
      <c r="AK545" s="164"/>
      <c r="AL545" s="158">
        <v>9936.6999999999989</v>
      </c>
      <c r="AM545" s="162"/>
      <c r="AN545" s="160">
        <f t="shared" si="99"/>
        <v>1163.3000000000011</v>
      </c>
      <c r="AO545" s="349">
        <f t="shared" si="91"/>
        <v>0.11707105980858849</v>
      </c>
      <c r="AP545" s="6"/>
      <c r="AQ545" s="454">
        <v>11100</v>
      </c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34" t="s">
        <v>167</v>
      </c>
      <c r="B546" s="3"/>
      <c r="C546" s="336" t="s">
        <v>490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/>
      <c r="AC546" s="158"/>
      <c r="AD546" s="165"/>
      <c r="AE546" s="164"/>
      <c r="AF546" s="158">
        <v>5434.869999999999</v>
      </c>
      <c r="AG546" s="159"/>
      <c r="AH546" s="160">
        <f t="shared" si="108"/>
        <v>5434.869999999999</v>
      </c>
      <c r="AI546" s="161">
        <f t="shared" si="109"/>
        <v>0</v>
      </c>
      <c r="AJ546" s="165"/>
      <c r="AK546" s="164"/>
      <c r="AL546" s="158">
        <v>10861.199999999999</v>
      </c>
      <c r="AM546" s="162"/>
      <c r="AN546" s="160">
        <f t="shared" si="99"/>
        <v>-5426.33</v>
      </c>
      <c r="AO546" s="349">
        <f t="shared" si="91"/>
        <v>-0.49960685743748395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34" t="s">
        <v>169</v>
      </c>
      <c r="B547" s="3"/>
      <c r="C547" s="336" t="s">
        <v>490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/>
      <c r="AC547" s="146"/>
      <c r="AD547" s="168"/>
      <c r="AE547" s="167"/>
      <c r="AF547" s="146">
        <v>10786.670000000002</v>
      </c>
      <c r="AG547" s="147"/>
      <c r="AH547" s="148">
        <f t="shared" si="108"/>
        <v>10786.670000000002</v>
      </c>
      <c r="AI547" s="169">
        <f t="shared" si="109"/>
        <v>0</v>
      </c>
      <c r="AJ547" s="168"/>
      <c r="AK547" s="167"/>
      <c r="AL547" s="146">
        <v>11687.770000000004</v>
      </c>
      <c r="AM547" s="150"/>
      <c r="AN547" s="148">
        <f t="shared" si="99"/>
        <v>-901.10000000000218</v>
      </c>
      <c r="AO547" s="343">
        <f t="shared" si="91"/>
        <v>-7.7097684160451638E-2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34" t="s">
        <v>171</v>
      </c>
      <c r="B548" s="3"/>
      <c r="C548" s="336" t="s">
        <v>490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/>
      <c r="AC548" s="158"/>
      <c r="AD548" s="165"/>
      <c r="AE548" s="164"/>
      <c r="AF548" s="158">
        <v>855.75999999999976</v>
      </c>
      <c r="AG548" s="159"/>
      <c r="AH548" s="160">
        <f t="shared" si="108"/>
        <v>855.75999999999976</v>
      </c>
      <c r="AI548" s="192">
        <f t="shared" si="109"/>
        <v>0</v>
      </c>
      <c r="AJ548" s="165"/>
      <c r="AK548" s="164"/>
      <c r="AL548" s="158">
        <v>1954.2500000000007</v>
      </c>
      <c r="AM548" s="162"/>
      <c r="AN548" s="160">
        <f t="shared" si="99"/>
        <v>-1098.4900000000009</v>
      </c>
      <c r="AO548" s="349">
        <f t="shared" si="91"/>
        <v>-0.56210310860944124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25" hidden="1" customHeight="1">
      <c r="A549" s="234" t="s">
        <v>173</v>
      </c>
      <c r="B549" s="3"/>
      <c r="C549" s="336" t="s">
        <v>490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99"/>
        <v>0</v>
      </c>
      <c r="AO549" s="349">
        <f t="shared" si="91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25" hidden="1" customHeight="1">
      <c r="A550" s="234" t="s">
        <v>19</v>
      </c>
      <c r="B550" s="3"/>
      <c r="C550" s="336" t="s">
        <v>490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271" t="s">
        <v>19</v>
      </c>
      <c r="W550" s="163"/>
      <c r="X550" s="157"/>
      <c r="Y550" s="164"/>
      <c r="Z550" s="158">
        <f t="shared" ref="Z550:Z552" si="110">IFERROR(SUMIF($C:$C,$V550,F:F),0)</f>
        <v>0</v>
      </c>
      <c r="AA550" s="157"/>
      <c r="AB550" s="157"/>
      <c r="AC550" s="158"/>
      <c r="AD550" s="165"/>
      <c r="AE550" s="164"/>
      <c r="AF550" s="158">
        <f t="shared" ref="AF550:AF552" si="111">IFERROR(SUMIF($C:$C,$V550,L:L),0)</f>
        <v>0</v>
      </c>
      <c r="AG550" s="159"/>
      <c r="AH550" s="160">
        <f t="shared" ref="AH550:AH552" si="112">AF550-Z550</f>
        <v>0</v>
      </c>
      <c r="AI550" s="161">
        <f t="shared" ref="AI550:AI553" si="113">IF(Z550=0,0,AH550/Z550)</f>
        <v>0</v>
      </c>
      <c r="AJ550" s="165"/>
      <c r="AK550" s="164"/>
      <c r="AL550" s="158">
        <v>0</v>
      </c>
      <c r="AM550" s="162"/>
      <c r="AN550" s="160">
        <f t="shared" si="99"/>
        <v>0</v>
      </c>
      <c r="AO550" s="349">
        <f t="shared" si="91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25" hidden="1" customHeight="1">
      <c r="A551" s="234" t="s">
        <v>19</v>
      </c>
      <c r="B551" s="3"/>
      <c r="C551" s="336" t="s">
        <v>490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271" t="s">
        <v>19</v>
      </c>
      <c r="W551" s="163"/>
      <c r="X551" s="157"/>
      <c r="Y551" s="164"/>
      <c r="Z551" s="158">
        <f t="shared" si="110"/>
        <v>0</v>
      </c>
      <c r="AA551" s="157"/>
      <c r="AB551" s="157"/>
      <c r="AC551" s="158"/>
      <c r="AD551" s="165"/>
      <c r="AE551" s="164"/>
      <c r="AF551" s="158">
        <f t="shared" si="111"/>
        <v>0</v>
      </c>
      <c r="AG551" s="159"/>
      <c r="AH551" s="160">
        <f t="shared" si="112"/>
        <v>0</v>
      </c>
      <c r="AI551" s="161">
        <f t="shared" si="113"/>
        <v>0</v>
      </c>
      <c r="AJ551" s="165"/>
      <c r="AK551" s="164"/>
      <c r="AL551" s="158">
        <v>0</v>
      </c>
      <c r="AM551" s="162"/>
      <c r="AN551" s="160">
        <f t="shared" si="99"/>
        <v>0</v>
      </c>
      <c r="AO551" s="349">
        <f t="shared" si="91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25" hidden="1" customHeight="1">
      <c r="A552" s="234" t="s">
        <v>19</v>
      </c>
      <c r="B552" s="3"/>
      <c r="C552" s="336" t="s">
        <v>490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 t="shared" si="110"/>
        <v>0</v>
      </c>
      <c r="AA552" s="157"/>
      <c r="AB552" s="157"/>
      <c r="AC552" s="158"/>
      <c r="AD552" s="165"/>
      <c r="AE552" s="164"/>
      <c r="AF552" s="158">
        <f t="shared" si="111"/>
        <v>0</v>
      </c>
      <c r="AG552" s="159"/>
      <c r="AH552" s="160">
        <f t="shared" si="112"/>
        <v>0</v>
      </c>
      <c r="AI552" s="161">
        <f t="shared" si="113"/>
        <v>0</v>
      </c>
      <c r="AJ552" s="165"/>
      <c r="AK552" s="164"/>
      <c r="AL552" s="158">
        <v>0</v>
      </c>
      <c r="AM552" s="162"/>
      <c r="AN552" s="160">
        <f t="shared" si="99"/>
        <v>0</v>
      </c>
      <c r="AO552" s="349">
        <f t="shared" si="91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34" t="s">
        <v>175</v>
      </c>
      <c r="B553" s="3"/>
      <c r="C553" s="336" t="s">
        <v>490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1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/>
      <c r="AB553" s="170"/>
      <c r="AC553" s="172"/>
      <c r="AD553" s="173">
        <f>AF553/AF494</f>
        <v>0.21986414981629721</v>
      </c>
      <c r="AE553" s="170"/>
      <c r="AF553" s="172">
        <f>SUM(AF540:AF552)</f>
        <v>128850.08999999998</v>
      </c>
      <c r="AG553" s="179"/>
      <c r="AH553" s="356">
        <f>SUM(AH540:AH552)</f>
        <v>128850.08999999998</v>
      </c>
      <c r="AI553" s="171">
        <f t="shared" si="113"/>
        <v>0</v>
      </c>
      <c r="AJ553" s="173">
        <f>AL553/AL494</f>
        <v>0.18082118225507196</v>
      </c>
      <c r="AK553" s="170"/>
      <c r="AL553" s="172">
        <f>SUM(AL540:AL552)</f>
        <v>149801.52000000002</v>
      </c>
      <c r="AM553" s="180"/>
      <c r="AN553" s="175">
        <f t="shared" si="99"/>
        <v>-20951.430000000037</v>
      </c>
      <c r="AO553" s="357">
        <f t="shared" si="91"/>
        <v>-0.13986126442508751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34" t="s">
        <v>492</v>
      </c>
      <c r="B554" s="3"/>
      <c r="C554" s="336" t="s">
        <v>490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114">AF554-Z554</f>
        <v>0</v>
      </c>
      <c r="AI554" s="161"/>
      <c r="AJ554" s="165"/>
      <c r="AK554" s="157"/>
      <c r="AL554" s="158"/>
      <c r="AM554" s="194"/>
      <c r="AN554" s="160"/>
      <c r="AO554" s="359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34" t="s">
        <v>64</v>
      </c>
      <c r="B555" s="3"/>
      <c r="C555" s="336" t="s">
        <v>490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1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/>
      <c r="AB555" s="170"/>
      <c r="AC555" s="172"/>
      <c r="AD555" s="173">
        <f>AF555/AF494</f>
        <v>0.85601797107046151</v>
      </c>
      <c r="AE555" s="170"/>
      <c r="AF555" s="172">
        <f>AF506+AF520+AF539+AF553</f>
        <v>501664.28999999992</v>
      </c>
      <c r="AG555" s="179"/>
      <c r="AH555" s="356">
        <f t="shared" si="114"/>
        <v>501664.28999999992</v>
      </c>
      <c r="AI555" s="171" t="e">
        <f>AH555/Z555</f>
        <v>#DIV/0!</v>
      </c>
      <c r="AJ555" s="173">
        <f>AL555/AL494</f>
        <v>0.60131769745704122</v>
      </c>
      <c r="AK555" s="170"/>
      <c r="AL555" s="172">
        <f>AL506+AL520+AL539+AL553</f>
        <v>498162.3499999998</v>
      </c>
      <c r="AM555" s="180"/>
      <c r="AN555" s="175">
        <f t="shared" ref="AN555:AN568" si="115">AF555-AL555</f>
        <v>3501.9400000001187</v>
      </c>
      <c r="AO555" s="346">
        <f t="shared" ref="AO555:AO568" si="116">IF(AL555=0,0,AN555/AL555)</f>
        <v>7.0297163163778233E-3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34" t="s">
        <v>176</v>
      </c>
      <c r="B556" s="3"/>
      <c r="C556" s="336" t="s">
        <v>490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/>
      <c r="AC556" s="183"/>
      <c r="AD556" s="197"/>
      <c r="AE556" s="196"/>
      <c r="AF556" s="183">
        <v>9860.7700000000041</v>
      </c>
      <c r="AG556" s="198"/>
      <c r="AH556" s="160">
        <f t="shared" si="114"/>
        <v>9860.7700000000041</v>
      </c>
      <c r="AI556" s="192" t="e">
        <f>IF(AH556=0,0,AH556/Z556)</f>
        <v>#DIV/0!</v>
      </c>
      <c r="AJ556" s="197"/>
      <c r="AK556" s="196"/>
      <c r="AL556" s="183">
        <v>139981.76000000001</v>
      </c>
      <c r="AM556" s="199"/>
      <c r="AN556" s="160">
        <f t="shared" si="115"/>
        <v>-130120.99</v>
      </c>
      <c r="AO556" s="349">
        <f t="shared" si="116"/>
        <v>-0.92955675082239286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25" hidden="1" customHeight="1">
      <c r="A557" s="234" t="s">
        <v>66</v>
      </c>
      <c r="B557" s="3"/>
      <c r="C557" s="336" t="s">
        <v>490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 t="shared" ref="Z557:Z563" si="117">+SUMIF($C:$C,$V557,F:F)</f>
        <v>0</v>
      </c>
      <c r="AA557" s="190"/>
      <c r="AB557" s="160"/>
      <c r="AC557" s="158"/>
      <c r="AD557" s="202"/>
      <c r="AE557" s="360"/>
      <c r="AF557" s="158">
        <f t="shared" ref="AF557:AF563" si="118">+SUMIF($C:$C,$V557,L:L)</f>
        <v>0</v>
      </c>
      <c r="AG557" s="201"/>
      <c r="AH557" s="160">
        <f t="shared" si="114"/>
        <v>0</v>
      </c>
      <c r="AI557" s="177">
        <f>IF(Z557=0,0,AH557/Z557)</f>
        <v>0</v>
      </c>
      <c r="AJ557" s="202"/>
      <c r="AK557" s="360"/>
      <c r="AL557" s="158">
        <v>0</v>
      </c>
      <c r="AM557" s="202"/>
      <c r="AN557" s="160">
        <f t="shared" si="115"/>
        <v>0</v>
      </c>
      <c r="AO557" s="349">
        <f t="shared" si="116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34" t="s">
        <v>493</v>
      </c>
      <c r="B558" s="3"/>
      <c r="C558" s="336" t="s">
        <v>490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331</v>
      </c>
      <c r="W558" s="157"/>
      <c r="X558" s="157"/>
      <c r="Y558" s="157"/>
      <c r="Z558" s="158">
        <f t="shared" si="117"/>
        <v>0</v>
      </c>
      <c r="AA558" s="190"/>
      <c r="AB558" s="191"/>
      <c r="AC558" s="158"/>
      <c r="AD558" s="200"/>
      <c r="AF558" s="158">
        <f t="shared" si="118"/>
        <v>51135.709999999992</v>
      </c>
      <c r="AG558" s="201"/>
      <c r="AH558" s="160">
        <f t="shared" si="114"/>
        <v>51135.709999999992</v>
      </c>
      <c r="AI558" s="177" t="e">
        <f t="shared" ref="AI558:AI567" si="119">IF(AH558=0,0,AH558/Z558)</f>
        <v>#DIV/0!</v>
      </c>
      <c r="AJ558" s="200"/>
      <c r="AL558" s="158">
        <v>26831.50999999998</v>
      </c>
      <c r="AM558" s="202"/>
      <c r="AN558" s="160">
        <f t="shared" si="115"/>
        <v>24304.200000000012</v>
      </c>
      <c r="AO558" s="349">
        <f t="shared" si="116"/>
        <v>0.90580813379493097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25" hidden="1" customHeight="1">
      <c r="A559" s="234" t="s">
        <v>186</v>
      </c>
      <c r="B559" s="3"/>
      <c r="C559" s="336" t="s">
        <v>490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186</v>
      </c>
      <c r="W559" s="157"/>
      <c r="X559" s="157"/>
      <c r="Y559" s="157"/>
      <c r="Z559" s="158">
        <f t="shared" si="117"/>
        <v>0</v>
      </c>
      <c r="AA559" s="190"/>
      <c r="AB559" s="191"/>
      <c r="AC559" s="158"/>
      <c r="AD559" s="200"/>
      <c r="AE559" s="191"/>
      <c r="AF559" s="158">
        <f t="shared" si="118"/>
        <v>0</v>
      </c>
      <c r="AG559" s="201"/>
      <c r="AH559" s="160">
        <f t="shared" si="114"/>
        <v>0</v>
      </c>
      <c r="AI559" s="177">
        <f t="shared" si="119"/>
        <v>0</v>
      </c>
      <c r="AJ559" s="200"/>
      <c r="AK559" s="191"/>
      <c r="AL559" s="158">
        <v>0</v>
      </c>
      <c r="AM559" s="202"/>
      <c r="AN559" s="160">
        <f t="shared" si="115"/>
        <v>0</v>
      </c>
      <c r="AO559" s="349">
        <f t="shared" si="116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25" hidden="1" customHeight="1">
      <c r="A560" s="234" t="s">
        <v>65</v>
      </c>
      <c r="B560" s="3"/>
      <c r="C560" s="336" t="s">
        <v>490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 t="shared" si="117"/>
        <v>0</v>
      </c>
      <c r="AA560" s="190"/>
      <c r="AB560" s="191"/>
      <c r="AC560" s="158"/>
      <c r="AD560" s="200"/>
      <c r="AE560" s="191"/>
      <c r="AF560" s="158">
        <f t="shared" si="118"/>
        <v>0</v>
      </c>
      <c r="AG560" s="201"/>
      <c r="AH560" s="160">
        <f t="shared" si="114"/>
        <v>0</v>
      </c>
      <c r="AI560" s="177">
        <f t="shared" si="119"/>
        <v>0</v>
      </c>
      <c r="AJ560" s="200"/>
      <c r="AK560" s="191"/>
      <c r="AL560" s="158">
        <v>0</v>
      </c>
      <c r="AM560" s="202"/>
      <c r="AN560" s="160">
        <f t="shared" si="115"/>
        <v>0</v>
      </c>
      <c r="AO560" s="349">
        <f t="shared" si="116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25" hidden="1" customHeight="1">
      <c r="A561" s="234" t="s">
        <v>266</v>
      </c>
      <c r="B561" s="3"/>
      <c r="C561" s="336" t="s">
        <v>490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266</v>
      </c>
      <c r="W561" s="157"/>
      <c r="X561" s="157"/>
      <c r="Y561" s="157"/>
      <c r="Z561" s="158">
        <f t="shared" si="117"/>
        <v>0</v>
      </c>
      <c r="AA561" s="190"/>
      <c r="AB561" s="191"/>
      <c r="AC561" s="158"/>
      <c r="AD561" s="200"/>
      <c r="AE561" s="191"/>
      <c r="AF561" s="158">
        <f t="shared" si="118"/>
        <v>0</v>
      </c>
      <c r="AG561" s="201"/>
      <c r="AH561" s="160">
        <f t="shared" si="114"/>
        <v>0</v>
      </c>
      <c r="AI561" s="177">
        <f t="shared" si="119"/>
        <v>0</v>
      </c>
      <c r="AJ561" s="200"/>
      <c r="AK561" s="191"/>
      <c r="AL561" s="158">
        <v>0</v>
      </c>
      <c r="AM561" s="202"/>
      <c r="AN561" s="160">
        <f t="shared" si="115"/>
        <v>0</v>
      </c>
      <c r="AO561" s="349">
        <f t="shared" si="116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25" hidden="1" customHeight="1">
      <c r="A562" s="234" t="s">
        <v>268</v>
      </c>
      <c r="B562" s="3"/>
      <c r="C562" s="336" t="s">
        <v>490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268</v>
      </c>
      <c r="W562" s="157"/>
      <c r="X562" s="157"/>
      <c r="Y562" s="157"/>
      <c r="Z562" s="158">
        <f t="shared" si="117"/>
        <v>0</v>
      </c>
      <c r="AA562" s="190"/>
      <c r="AB562" s="191"/>
      <c r="AC562" s="158"/>
      <c r="AD562" s="200"/>
      <c r="AE562" s="191"/>
      <c r="AF562" s="158">
        <f t="shared" si="118"/>
        <v>0</v>
      </c>
      <c r="AG562" s="201"/>
      <c r="AH562" s="160">
        <f t="shared" si="114"/>
        <v>0</v>
      </c>
      <c r="AI562" s="177">
        <f t="shared" si="119"/>
        <v>0</v>
      </c>
      <c r="AJ562" s="200"/>
      <c r="AK562" s="191"/>
      <c r="AL562" s="158">
        <v>0</v>
      </c>
      <c r="AM562" s="202"/>
      <c r="AN562" s="160">
        <f t="shared" si="115"/>
        <v>0</v>
      </c>
      <c r="AO562" s="349">
        <f t="shared" si="116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25" hidden="1" customHeight="1">
      <c r="A563" s="234" t="s">
        <v>77</v>
      </c>
      <c r="B563" s="3"/>
      <c r="C563" s="336" t="s">
        <v>490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 t="shared" si="117"/>
        <v>0</v>
      </c>
      <c r="AA563" s="190"/>
      <c r="AB563" s="191"/>
      <c r="AC563" s="158"/>
      <c r="AD563" s="200"/>
      <c r="AE563" s="191"/>
      <c r="AF563" s="158">
        <f t="shared" si="118"/>
        <v>0</v>
      </c>
      <c r="AG563" s="201"/>
      <c r="AH563" s="160">
        <f t="shared" si="114"/>
        <v>0</v>
      </c>
      <c r="AI563" s="177">
        <f t="shared" si="119"/>
        <v>0</v>
      </c>
      <c r="AJ563" s="200"/>
      <c r="AK563" s="191"/>
      <c r="AL563" s="158">
        <v>0</v>
      </c>
      <c r="AM563" s="202"/>
      <c r="AN563" s="160">
        <f t="shared" si="115"/>
        <v>0</v>
      </c>
      <c r="AO563" s="349">
        <f t="shared" si="116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25" hidden="1" customHeight="1">
      <c r="A564" s="234" t="s">
        <v>19</v>
      </c>
      <c r="B564" s="3"/>
      <c r="C564" s="336" t="s">
        <v>490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>
        <v>0</v>
      </c>
      <c r="AA564" s="157"/>
      <c r="AB564" s="157"/>
      <c r="AC564" s="158"/>
      <c r="AD564" s="165"/>
      <c r="AE564" s="164"/>
      <c r="AF564" s="158">
        <f t="shared" ref="AF564:AF566" si="120">IFERROR(SUMIF($C:$C,$V564,L:L),0)</f>
        <v>0</v>
      </c>
      <c r="AG564" s="159"/>
      <c r="AH564" s="160">
        <f t="shared" si="114"/>
        <v>0</v>
      </c>
      <c r="AI564" s="161">
        <f t="shared" si="119"/>
        <v>0</v>
      </c>
      <c r="AJ564" s="165"/>
      <c r="AK564" s="164"/>
      <c r="AL564" s="158">
        <v>0</v>
      </c>
      <c r="AM564" s="202"/>
      <c r="AN564" s="160">
        <f t="shared" si="115"/>
        <v>0</v>
      </c>
      <c r="AO564" s="349">
        <f t="shared" si="116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25" hidden="1" customHeight="1">
      <c r="A565" s="234" t="s">
        <v>19</v>
      </c>
      <c r="B565" s="3"/>
      <c r="C565" s="336" t="s">
        <v>490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 t="shared" ref="Z565:Z566" si="121">IFERROR(SUMIF($C:$C,$V565,F:F),0)</f>
        <v>0</v>
      </c>
      <c r="AA565" s="157"/>
      <c r="AB565" s="157"/>
      <c r="AC565" s="158"/>
      <c r="AD565" s="165"/>
      <c r="AE565" s="164"/>
      <c r="AF565" s="158">
        <f t="shared" si="120"/>
        <v>0</v>
      </c>
      <c r="AG565" s="159"/>
      <c r="AH565" s="160">
        <f t="shared" si="114"/>
        <v>0</v>
      </c>
      <c r="AI565" s="161">
        <f t="shared" si="119"/>
        <v>0</v>
      </c>
      <c r="AJ565" s="165"/>
      <c r="AK565" s="164"/>
      <c r="AL565" s="158">
        <v>0</v>
      </c>
      <c r="AM565" s="202"/>
      <c r="AN565" s="160">
        <f t="shared" si="115"/>
        <v>0</v>
      </c>
      <c r="AO565" s="349">
        <f t="shared" si="116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25" hidden="1" customHeight="1">
      <c r="A566" s="234" t="s">
        <v>19</v>
      </c>
      <c r="B566" s="3"/>
      <c r="C566" s="336" t="s">
        <v>490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 t="shared" si="121"/>
        <v>0</v>
      </c>
      <c r="AA566" s="157"/>
      <c r="AB566" s="157"/>
      <c r="AC566" s="158"/>
      <c r="AD566" s="165"/>
      <c r="AE566" s="164"/>
      <c r="AF566" s="158">
        <f t="shared" si="120"/>
        <v>0</v>
      </c>
      <c r="AG566" s="159"/>
      <c r="AH566" s="160">
        <f t="shared" si="114"/>
        <v>0</v>
      </c>
      <c r="AI566" s="161">
        <f t="shared" si="119"/>
        <v>0</v>
      </c>
      <c r="AJ566" s="165"/>
      <c r="AK566" s="164"/>
      <c r="AL566" s="158">
        <v>0</v>
      </c>
      <c r="AM566" s="202"/>
      <c r="AN566" s="160">
        <f t="shared" si="115"/>
        <v>0</v>
      </c>
      <c r="AO566" s="349">
        <f t="shared" si="116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34" t="s">
        <v>67</v>
      </c>
      <c r="B567" s="3"/>
      <c r="C567" s="336" t="s">
        <v>490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+SUMIF($C:$C,$V567,F:F)</f>
        <v>0</v>
      </c>
      <c r="AA567" s="190"/>
      <c r="AB567" s="191"/>
      <c r="AC567" s="158"/>
      <c r="AD567" s="361">
        <f>AF567/499</f>
        <v>108.48496993987976</v>
      </c>
      <c r="AE567" s="190">
        <f>(AF567/399)/(J13+J15+J97)</f>
        <v>1.3433087669669221</v>
      </c>
      <c r="AF567" s="158">
        <f>+SUMIF($C:$C,$V567,L:L)</f>
        <v>54134</v>
      </c>
      <c r="AG567" s="201"/>
      <c r="AH567" s="160">
        <f t="shared" si="114"/>
        <v>54134</v>
      </c>
      <c r="AI567" s="177" t="e">
        <f t="shared" si="119"/>
        <v>#DIV/0!</v>
      </c>
      <c r="AJ567" s="361">
        <f>AL567/499</f>
        <v>0</v>
      </c>
      <c r="AK567" s="190">
        <f>(AL567/399)/(P13+P15+P97)</f>
        <v>0</v>
      </c>
      <c r="AL567" s="158">
        <v>0</v>
      </c>
      <c r="AM567" s="202"/>
      <c r="AN567" s="160">
        <f t="shared" si="115"/>
        <v>54134</v>
      </c>
      <c r="AO567" s="349">
        <f t="shared" si="116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34" t="s">
        <v>177</v>
      </c>
      <c r="B568" s="3"/>
      <c r="C568" s="336" t="s">
        <v>490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1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/>
      <c r="AB568" s="189"/>
      <c r="AC568" s="172"/>
      <c r="AD568" s="171">
        <f>AF568/+AF494</f>
        <v>0.19645360824460589</v>
      </c>
      <c r="AE568" s="189"/>
      <c r="AF568" s="172">
        <f>SUM(AF556:AF567)</f>
        <v>115130.48</v>
      </c>
      <c r="AG568" s="179"/>
      <c r="AH568" s="175">
        <f t="shared" si="114"/>
        <v>115130.48</v>
      </c>
      <c r="AI568" s="171" t="e">
        <f>AH568/Z568</f>
        <v>#DIV/0!</v>
      </c>
      <c r="AJ568" s="171">
        <f>AL568/+AL494</f>
        <v>0.20135558502500189</v>
      </c>
      <c r="AK568" s="189"/>
      <c r="AL568" s="172">
        <f>SUM(AL556:AL567)</f>
        <v>166813.26999999999</v>
      </c>
      <c r="AM568" s="203"/>
      <c r="AN568" s="175">
        <f t="shared" si="115"/>
        <v>-51682.789999999994</v>
      </c>
      <c r="AO568" s="357">
        <f t="shared" si="116"/>
        <v>-0.30982421242626557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34" t="s">
        <v>492</v>
      </c>
      <c r="B569" s="3"/>
      <c r="C569" s="336" t="s">
        <v>490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2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3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34" t="s">
        <v>178</v>
      </c>
      <c r="B570" s="3"/>
      <c r="C570" s="336" t="s">
        <v>490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/>
      <c r="AB570" s="240"/>
      <c r="AC570" s="241"/>
      <c r="AD570" s="239" t="s">
        <v>179</v>
      </c>
      <c r="AE570" s="240">
        <f>AF570/AF493</f>
        <v>1.781988466519303E-2</v>
      </c>
      <c r="AF570" s="241">
        <f>AF494-AF555+AF568</f>
        <v>199510.30000000657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>
        <f>AL570/AL493</f>
        <v>3.0211162405079626E-2</v>
      </c>
      <c r="AL570" s="241">
        <f>AL494-AL555+AL568</f>
        <v>497102.09000001347</v>
      </c>
      <c r="AM570" s="245"/>
      <c r="AN570" s="242">
        <f>AF570-AL570</f>
        <v>-297591.79000000691</v>
      </c>
      <c r="AO570" s="364">
        <f>IF(AL570=0,0,AN570/AL570)</f>
        <v>-0.59865326657548124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34" t="s">
        <v>492</v>
      </c>
      <c r="B571" s="3"/>
      <c r="C571" s="336" t="s">
        <v>490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15.75" customHeight="1">
      <c r="A572" s="234" t="s">
        <v>494</v>
      </c>
      <c r="B572" s="3"/>
      <c r="C572" s="336" t="s">
        <v>490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5" t="str">
        <f>C1</f>
        <v>Ste-Marie Auto</v>
      </c>
      <c r="W572" s="365"/>
      <c r="X572" s="365"/>
      <c r="Y572" s="365"/>
      <c r="Z572" s="365"/>
      <c r="AA572" s="365"/>
      <c r="AB572" s="365"/>
      <c r="AC572" s="365"/>
      <c r="AD572" s="365"/>
      <c r="AE572" s="366" t="s">
        <v>180</v>
      </c>
      <c r="AF572" s="365"/>
      <c r="AG572" s="365"/>
      <c r="AH572" s="365"/>
      <c r="AI572" s="365"/>
      <c r="AJ572" s="365"/>
      <c r="AK572" s="366"/>
      <c r="AL572" s="365"/>
      <c r="AM572" s="365"/>
      <c r="AN572" s="365"/>
      <c r="AO572" s="367" t="str">
        <f>$S$1</f>
        <v>Réalisé, Septembre 2026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34" t="s">
        <v>492</v>
      </c>
      <c r="B573" s="3"/>
      <c r="C573" s="336" t="s">
        <v>490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34" t="s">
        <v>492</v>
      </c>
      <c r="B574" s="3"/>
      <c r="C574" s="336" t="s">
        <v>490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8.75" hidden="1" customHeight="1">
      <c r="A575" s="234" t="s">
        <v>492</v>
      </c>
      <c r="B575" s="3"/>
      <c r="C575" s="336" t="s">
        <v>490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207</v>
      </c>
      <c r="W575" s="238"/>
      <c r="X575" s="239" t="s">
        <v>179</v>
      </c>
      <c r="Y575" s="240" t="e">
        <f>Z575/Z493</f>
        <v>#REF!</v>
      </c>
      <c r="Z575" s="242" t="e">
        <f>Z576+Z502</f>
        <v>#REF!</v>
      </c>
      <c r="AA575" s="239"/>
      <c r="AB575" s="240"/>
      <c r="AC575" s="241"/>
      <c r="AD575" s="239" t="s">
        <v>179</v>
      </c>
      <c r="AE575" s="240">
        <f>AF575/AF493</f>
        <v>2.2215532076796014E-2</v>
      </c>
      <c r="AF575" s="242">
        <f>AF576+AF502</f>
        <v>248723.69000000655</v>
      </c>
      <c r="AG575" s="243"/>
      <c r="AH575" s="243" t="e">
        <f t="shared" ref="AH575:AH576" si="122">AF575-Z575</f>
        <v>#REF!</v>
      </c>
      <c r="AI575" s="244" t="e">
        <f t="shared" ref="AI575:AI576" si="123">AH575/Z575</f>
        <v>#REF!</v>
      </c>
      <c r="AJ575" s="239" t="s">
        <v>179</v>
      </c>
      <c r="AK575" s="240">
        <f t="shared" ref="AK575:AK576" si="124">IF($AL$493=0,0,AL575/$AL$493)</f>
        <v>3.3750274286999921E-2</v>
      </c>
      <c r="AL575" s="242">
        <f>AL576+AL502</f>
        <v>555335.53000001342</v>
      </c>
      <c r="AM575" s="245"/>
      <c r="AN575" s="242">
        <f t="shared" ref="AN575:AN576" si="125">AF575-AL575</f>
        <v>-306611.84000000684</v>
      </c>
      <c r="AO575" s="246">
        <f t="shared" ref="AO575:AO576" si="126">IF(AL575=0,0,AN575/AL575)</f>
        <v>-0.55211997690837367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34" t="s">
        <v>178</v>
      </c>
      <c r="B576" s="3"/>
      <c r="C576" s="336" t="s">
        <v>490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/>
      <c r="AB576" s="240"/>
      <c r="AC576" s="241"/>
      <c r="AD576" s="239" t="s">
        <v>179</v>
      </c>
      <c r="AE576" s="240">
        <f>AF576/AF493</f>
        <v>1.781988466519303E-2</v>
      </c>
      <c r="AF576" s="241">
        <f>AF570</f>
        <v>199510.30000000657</v>
      </c>
      <c r="AG576" s="242"/>
      <c r="AH576" s="243" t="e">
        <f t="shared" si="122"/>
        <v>#REF!</v>
      </c>
      <c r="AI576" s="244" t="e">
        <f t="shared" si="123"/>
        <v>#REF!</v>
      </c>
      <c r="AJ576" s="239" t="s">
        <v>179</v>
      </c>
      <c r="AK576" s="240">
        <f t="shared" si="124"/>
        <v>3.0211162405079626E-2</v>
      </c>
      <c r="AL576" s="241">
        <f>AL570</f>
        <v>497102.09000001347</v>
      </c>
      <c r="AM576" s="368"/>
      <c r="AN576" s="369">
        <f t="shared" si="125"/>
        <v>-297591.79000000691</v>
      </c>
      <c r="AO576" s="370">
        <f t="shared" si="126"/>
        <v>-0.59865326657548124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34" t="s">
        <v>492</v>
      </c>
      <c r="B577" s="3"/>
      <c r="C577" s="336" t="s">
        <v>490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8"/>
      <c r="U577" s="6"/>
      <c r="V577" s="371"/>
      <c r="W577" s="6"/>
      <c r="X577" s="6"/>
      <c r="Y577" s="6"/>
      <c r="Z577" s="372"/>
      <c r="AA577" s="6"/>
      <c r="AB577" s="6"/>
      <c r="AC577" s="6"/>
      <c r="AD577" s="455"/>
      <c r="AE577" s="6"/>
      <c r="AF577" s="372"/>
      <c r="AG577" s="6"/>
      <c r="AH577" s="6"/>
      <c r="AI577" s="373"/>
      <c r="AJ577" s="6"/>
      <c r="AK577" s="6"/>
      <c r="AL577" s="372"/>
      <c r="AM577" s="212"/>
      <c r="AN577" s="97"/>
      <c r="AO577" s="374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34" t="s">
        <v>181</v>
      </c>
      <c r="B578" s="3"/>
      <c r="C578" s="336" t="s">
        <v>490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/>
      <c r="AC578" s="160"/>
      <c r="AD578" s="165"/>
      <c r="AE578" s="164"/>
      <c r="AF578" s="158">
        <v>10810</v>
      </c>
      <c r="AG578" s="157"/>
      <c r="AH578" s="160">
        <f t="shared" ref="AH578:AH585" si="127">AF578-Z578</f>
        <v>10810</v>
      </c>
      <c r="AI578" s="177">
        <f t="shared" ref="AI578:AI584" si="128">IF(Z578=0,0,AH578/Z578)</f>
        <v>0</v>
      </c>
      <c r="AJ578" s="157"/>
      <c r="AK578" s="164"/>
      <c r="AL578" s="158">
        <v>10786.230000000003</v>
      </c>
      <c r="AM578" s="162"/>
      <c r="AN578" s="160">
        <f t="shared" ref="AN578:AN585" si="129">AF578-AL578</f>
        <v>23.769999999996799</v>
      </c>
      <c r="AO578" s="349">
        <f t="shared" ref="AO578:AO585" si="130">IF(AL578=0,0,AN578/AL578)</f>
        <v>2.2037356889290133E-3</v>
      </c>
      <c r="AP578" s="6"/>
      <c r="AQ578" s="6">
        <v>10810</v>
      </c>
      <c r="AR578" s="6" t="s">
        <v>497</v>
      </c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34" t="s">
        <v>182</v>
      </c>
      <c r="B579" s="3"/>
      <c r="C579" s="336" t="s">
        <v>490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/>
      <c r="AC579" s="160"/>
      <c r="AD579" s="456"/>
      <c r="AE579" s="7"/>
      <c r="AF579" s="158">
        <v>-178.07</v>
      </c>
      <c r="AG579" s="6"/>
      <c r="AH579" s="160">
        <f t="shared" si="127"/>
        <v>-178.07</v>
      </c>
      <c r="AI579" s="177">
        <f t="shared" si="128"/>
        <v>0</v>
      </c>
      <c r="AJ579" s="6"/>
      <c r="AK579" s="7"/>
      <c r="AL579" s="158">
        <v>0</v>
      </c>
      <c r="AM579" s="212"/>
      <c r="AN579" s="160">
        <f t="shared" si="129"/>
        <v>-178.07</v>
      </c>
      <c r="AO579" s="349">
        <f t="shared" si="130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34" t="s">
        <v>183</v>
      </c>
      <c r="B580" s="3"/>
      <c r="C580" s="336" t="s">
        <v>490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/>
      <c r="AC580" s="160"/>
      <c r="AD580" s="456"/>
      <c r="AE580" s="7"/>
      <c r="AF580" s="158">
        <v>7887.2099999999919</v>
      </c>
      <c r="AG580" s="6"/>
      <c r="AH580" s="160">
        <f t="shared" si="127"/>
        <v>7887.2099999999919</v>
      </c>
      <c r="AI580" s="177">
        <f t="shared" si="128"/>
        <v>0</v>
      </c>
      <c r="AJ580" s="6"/>
      <c r="AK580" s="7"/>
      <c r="AL580" s="158">
        <v>0</v>
      </c>
      <c r="AM580" s="212"/>
      <c r="AN580" s="160">
        <f t="shared" si="129"/>
        <v>7887.2099999999919</v>
      </c>
      <c r="AO580" s="349">
        <f t="shared" si="130"/>
        <v>0</v>
      </c>
      <c r="AP580" s="6"/>
      <c r="AQ580" s="6">
        <v>7887</v>
      </c>
      <c r="AR580" s="97">
        <f>AQ580-AF580</f>
        <v>-0.20999999999185093</v>
      </c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34" t="s">
        <v>184</v>
      </c>
      <c r="B581" s="3"/>
      <c r="C581" s="336" t="s">
        <v>490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/>
      <c r="AC581" s="160"/>
      <c r="AD581" s="456"/>
      <c r="AE581" s="7"/>
      <c r="AF581" s="158">
        <v>0</v>
      </c>
      <c r="AG581" s="6"/>
      <c r="AH581" s="160">
        <f t="shared" si="127"/>
        <v>0</v>
      </c>
      <c r="AI581" s="177">
        <f t="shared" si="128"/>
        <v>0</v>
      </c>
      <c r="AJ581" s="6"/>
      <c r="AK581" s="7"/>
      <c r="AL581" s="158">
        <v>0</v>
      </c>
      <c r="AM581" s="212"/>
      <c r="AN581" s="160">
        <f t="shared" si="129"/>
        <v>0</v>
      </c>
      <c r="AO581" s="349">
        <f t="shared" si="130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25" hidden="1" customHeight="1">
      <c r="A582" s="234" t="s">
        <v>19</v>
      </c>
      <c r="B582" s="3"/>
      <c r="C582" s="336" t="s">
        <v>490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60"/>
      <c r="AD582" s="165"/>
      <c r="AE582" s="164"/>
      <c r="AF582" s="158">
        <f>IFERROR(SUMIF($C:$C,$V582,L:L),0)</f>
        <v>0</v>
      </c>
      <c r="AG582" s="159"/>
      <c r="AH582" s="160">
        <f t="shared" si="127"/>
        <v>0</v>
      </c>
      <c r="AI582" s="161">
        <f t="shared" si="128"/>
        <v>0</v>
      </c>
      <c r="AJ582" s="165"/>
      <c r="AK582" s="164"/>
      <c r="AL582" s="158">
        <v>0</v>
      </c>
      <c r="AM582" s="212"/>
      <c r="AN582" s="160">
        <f t="shared" si="129"/>
        <v>0</v>
      </c>
      <c r="AO582" s="349">
        <f t="shared" si="130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6" t="s">
        <v>490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206</v>
      </c>
      <c r="W583" s="7"/>
      <c r="X583" s="7"/>
      <c r="Y583" s="7"/>
      <c r="Z583" s="158">
        <v>0</v>
      </c>
      <c r="AA583" s="157"/>
      <c r="AB583" s="157"/>
      <c r="AC583" s="160"/>
      <c r="AD583" s="165"/>
      <c r="AE583" s="164"/>
      <c r="AF583" s="158">
        <v>0</v>
      </c>
      <c r="AG583" s="159"/>
      <c r="AH583" s="160">
        <f t="shared" si="127"/>
        <v>0</v>
      </c>
      <c r="AI583" s="161">
        <f t="shared" si="128"/>
        <v>0</v>
      </c>
      <c r="AJ583" s="165"/>
      <c r="AK583" s="164"/>
      <c r="AL583" s="158">
        <v>0</v>
      </c>
      <c r="AM583" s="212"/>
      <c r="AN583" s="160">
        <f t="shared" si="129"/>
        <v>0</v>
      </c>
      <c r="AO583" s="349">
        <f t="shared" si="130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34" t="s">
        <v>19</v>
      </c>
      <c r="B584" s="3"/>
      <c r="C584" s="336" t="s">
        <v>490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127"/>
        <v>0</v>
      </c>
      <c r="AI584" s="161">
        <f t="shared" si="128"/>
        <v>0</v>
      </c>
      <c r="AJ584" s="165"/>
      <c r="AK584" s="164"/>
      <c r="AL584" s="158">
        <v>0</v>
      </c>
      <c r="AM584" s="212"/>
      <c r="AN584" s="160">
        <f t="shared" si="129"/>
        <v>0</v>
      </c>
      <c r="AO584" s="349">
        <f t="shared" si="130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34" t="s">
        <v>185</v>
      </c>
      <c r="B585" s="3"/>
      <c r="C585" s="336" t="s">
        <v>490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</f>
        <v>#REF!</v>
      </c>
      <c r="AA585" s="239"/>
      <c r="AB585" s="240"/>
      <c r="AC585" s="241"/>
      <c r="AD585" s="239" t="s">
        <v>179</v>
      </c>
      <c r="AE585" s="240">
        <f>AF585/AF493</f>
        <v>1.616578991971597E-2</v>
      </c>
      <c r="AF585" s="241">
        <f>AF576-AF578-AF579-AF580-AF584-AF583</f>
        <v>180991.16000000658</v>
      </c>
      <c r="AG585" s="243"/>
      <c r="AH585" s="243" t="e">
        <f t="shared" si="127"/>
        <v>#REF!</v>
      </c>
      <c r="AI585" s="244" t="e">
        <f>AH585/Z585</f>
        <v>#REF!</v>
      </c>
      <c r="AJ585" s="239" t="s">
        <v>179</v>
      </c>
      <c r="AK585" s="240">
        <f>IF($AL$493=0,0,AL585/$AL$493)</f>
        <v>2.9555633987831304E-2</v>
      </c>
      <c r="AL585" s="241">
        <f>AL576-AL578-AL579-AL580-AL584-AL583</f>
        <v>486315.86000001349</v>
      </c>
      <c r="AM585" s="245"/>
      <c r="AN585" s="242">
        <f t="shared" si="129"/>
        <v>-305324.70000000694</v>
      </c>
      <c r="AO585" s="246">
        <f t="shared" si="130"/>
        <v>-0.62783208427543047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34" t="s">
        <v>492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T588" s="6"/>
      <c r="U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T589" s="6"/>
      <c r="U589" s="6"/>
      <c r="V589" s="6" t="s">
        <v>498</v>
      </c>
      <c r="W589" s="6"/>
      <c r="X589" s="6"/>
      <c r="Y589" s="6"/>
      <c r="Z589" s="97"/>
      <c r="AA589" s="6"/>
      <c r="AB589" s="6"/>
      <c r="AC589" s="97"/>
      <c r="AE589" s="176"/>
      <c r="AF589" s="176">
        <v>180991.16</v>
      </c>
      <c r="AG589" s="6"/>
      <c r="AH589" s="6"/>
      <c r="AI589" s="6"/>
      <c r="AJ589" s="375"/>
      <c r="AK589" s="457"/>
      <c r="AL589" s="176">
        <v>486312</v>
      </c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T590" s="6"/>
      <c r="U590" s="6"/>
      <c r="W590" s="6"/>
      <c r="X590" s="6"/>
      <c r="Y590" s="6"/>
      <c r="Z590" s="97"/>
      <c r="AA590" s="6"/>
      <c r="AB590" s="6"/>
      <c r="AC590" s="97"/>
      <c r="AD590" s="6"/>
      <c r="AE590" s="6"/>
      <c r="AF590" s="176"/>
      <c r="AG590" s="6"/>
      <c r="AH590" s="6"/>
      <c r="AI590" s="6"/>
      <c r="AJ590" s="6"/>
      <c r="AL590" s="17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T591" s="6"/>
      <c r="U591" s="6"/>
      <c r="W591" s="6"/>
      <c r="X591" s="6"/>
      <c r="Y591" s="6"/>
      <c r="AE591" s="6"/>
      <c r="AF591" s="458">
        <f>AF589-AF585</f>
        <v>-6.577465683221817E-9</v>
      </c>
      <c r="AL591" s="458">
        <f>AL589-AL585</f>
        <v>-3.8600000134902075</v>
      </c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T592" s="6"/>
      <c r="U592" s="6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T593" s="6"/>
      <c r="U593" s="6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T594" s="6"/>
      <c r="U594" s="6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T595" s="6"/>
      <c r="U595" s="6"/>
      <c r="V595" s="234" t="s">
        <v>515</v>
      </c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T596" s="6"/>
      <c r="U596" s="6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T597" s="6"/>
      <c r="U597" s="6"/>
      <c r="W597" s="6"/>
      <c r="X597" s="6"/>
      <c r="Y597" s="6"/>
      <c r="Z597" s="6"/>
      <c r="AA597" s="6"/>
      <c r="AB597" s="6"/>
      <c r="AC597" s="6"/>
      <c r="AD597" s="6"/>
      <c r="AE597" s="6"/>
      <c r="AF597" s="270">
        <f>AF585+AF595</f>
        <v>180991.16000000658</v>
      </c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T598" s="6"/>
      <c r="U598" s="6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T599" s="6"/>
      <c r="U599" s="6"/>
      <c r="W599" s="6"/>
      <c r="X599" s="6"/>
      <c r="Y599" s="6"/>
      <c r="Z599" s="6"/>
      <c r="AA599" s="6"/>
      <c r="AB599" s="6"/>
      <c r="AC599" s="6"/>
      <c r="AD599" s="6"/>
      <c r="AE599" s="6"/>
      <c r="AF599" s="459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T600" s="6"/>
      <c r="U600" s="6"/>
      <c r="W600" s="6"/>
      <c r="X600" s="6"/>
      <c r="Y600" s="6"/>
      <c r="Z600" s="6"/>
      <c r="AA600" s="6"/>
      <c r="AB600" s="6"/>
      <c r="AC600" s="6"/>
      <c r="AD600" s="6"/>
      <c r="AE600" s="6"/>
      <c r="AF600" s="459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T601" s="6"/>
      <c r="U601" s="6"/>
      <c r="W601" s="6"/>
      <c r="X601" s="6"/>
      <c r="Y601" s="6"/>
      <c r="Z601" s="6"/>
      <c r="AA601" s="6"/>
      <c r="AB601" s="6"/>
      <c r="AC601" s="6"/>
      <c r="AD601" s="6"/>
      <c r="AE601" s="6"/>
      <c r="AF601" s="459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T602" s="6"/>
      <c r="U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T603" s="6"/>
      <c r="U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T604" s="6"/>
      <c r="U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T605" s="6"/>
      <c r="U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T606" s="6"/>
      <c r="U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T607" s="6"/>
      <c r="U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T608" s="6"/>
      <c r="U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T609" s="6"/>
      <c r="U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T610" s="6"/>
      <c r="U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T611" s="6"/>
      <c r="U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T612" s="6"/>
      <c r="U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T613" s="6"/>
      <c r="U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T614" s="6"/>
      <c r="U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T615" s="6"/>
      <c r="U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T616" s="6"/>
      <c r="U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T617" s="6"/>
      <c r="U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T618" s="6"/>
      <c r="U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T619" s="6"/>
      <c r="U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T620" s="6"/>
      <c r="U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T621" s="6"/>
      <c r="U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T622" s="6"/>
      <c r="U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T623" s="6"/>
      <c r="U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T624" s="6"/>
      <c r="U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T625" s="6"/>
      <c r="U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>
      <c r="T626" s="6"/>
      <c r="U626" s="6"/>
    </row>
    <row r="627" spans="2:62" ht="15.75" customHeight="1">
      <c r="T627" s="6"/>
      <c r="U627" s="6"/>
    </row>
    <row r="628" spans="2:62" ht="15.75" customHeight="1">
      <c r="T628" s="6"/>
      <c r="U628" s="6"/>
    </row>
    <row r="629" spans="2:62" ht="15.75" customHeight="1">
      <c r="T629" s="6"/>
      <c r="U629" s="6"/>
    </row>
    <row r="630" spans="2:62" ht="15.75" customHeight="1">
      <c r="T630" s="6"/>
      <c r="U630" s="6"/>
    </row>
    <row r="631" spans="2:62" ht="15.75" customHeight="1">
      <c r="T631" s="6"/>
      <c r="U631" s="6"/>
    </row>
    <row r="632" spans="2:62" ht="15.75" customHeight="1">
      <c r="T632" s="6"/>
      <c r="U632" s="6"/>
    </row>
    <row r="633" spans="2:62" ht="15.75" customHeight="1">
      <c r="T633" s="6"/>
      <c r="U633" s="6"/>
    </row>
    <row r="634" spans="2:62" ht="15.75" customHeight="1">
      <c r="T634" s="6"/>
      <c r="U634" s="6"/>
    </row>
    <row r="635" spans="2:62" ht="15.75" customHeight="1">
      <c r="T635" s="6"/>
      <c r="U635" s="6"/>
    </row>
    <row r="636" spans="2:62" ht="15.75" customHeight="1">
      <c r="T636" s="6"/>
      <c r="U636" s="6"/>
    </row>
    <row r="637" spans="2:62" ht="15.75" customHeight="1">
      <c r="T637" s="6"/>
      <c r="U637" s="6"/>
    </row>
    <row r="638" spans="2:62" ht="15.75" customHeight="1">
      <c r="T638" s="6"/>
      <c r="U638" s="6"/>
    </row>
    <row r="639" spans="2:62" ht="15.75" customHeight="1">
      <c r="T639" s="6"/>
      <c r="U639" s="6"/>
    </row>
    <row r="640" spans="2:62" ht="15.75" customHeight="1">
      <c r="T640" s="6"/>
      <c r="U640" s="6"/>
    </row>
    <row r="641" spans="20:21" ht="15.75" customHeight="1">
      <c r="T641" s="6"/>
      <c r="U641" s="6"/>
    </row>
    <row r="642" spans="20:21" ht="15.75" customHeight="1">
      <c r="T642" s="6"/>
      <c r="U642" s="6"/>
    </row>
    <row r="643" spans="20:21" ht="15.75" customHeight="1">
      <c r="T643" s="6"/>
      <c r="U643" s="6"/>
    </row>
    <row r="644" spans="20:21" ht="15.75" customHeight="1">
      <c r="T644" s="6"/>
      <c r="U644" s="6"/>
    </row>
    <row r="645" spans="20:21" ht="15.75" customHeight="1">
      <c r="T645" s="6"/>
      <c r="U645" s="6"/>
    </row>
    <row r="646" spans="20:21" ht="15.75" customHeight="1">
      <c r="T646" s="6"/>
      <c r="U646" s="6"/>
    </row>
    <row r="647" spans="20:21" ht="15.75" customHeight="1">
      <c r="T647" s="6"/>
      <c r="U647" s="6"/>
    </row>
    <row r="648" spans="20:21" ht="15.75" customHeight="1">
      <c r="T648" s="6"/>
      <c r="U648" s="6"/>
    </row>
    <row r="649" spans="20:21" ht="15.75" customHeight="1">
      <c r="T649" s="6"/>
      <c r="U649" s="6"/>
    </row>
    <row r="650" spans="20:21" ht="15.75" customHeight="1">
      <c r="T650" s="6"/>
      <c r="U650" s="6"/>
    </row>
    <row r="651" spans="20:21" ht="15.75" customHeight="1">
      <c r="T651" s="6"/>
      <c r="U651" s="6"/>
    </row>
    <row r="652" spans="20:21" ht="15.75" customHeight="1">
      <c r="T652" s="6"/>
      <c r="U652" s="6"/>
    </row>
    <row r="653" spans="20:21" ht="15.75" customHeight="1">
      <c r="T653" s="6"/>
      <c r="U653" s="6"/>
    </row>
    <row r="654" spans="20:21" ht="15.75" customHeight="1">
      <c r="T654" s="6"/>
      <c r="U654" s="6"/>
    </row>
    <row r="655" spans="20:21" ht="15.75" customHeight="1">
      <c r="T655" s="6"/>
      <c r="U655" s="6"/>
    </row>
    <row r="656" spans="20:21" ht="15.75" customHeight="1">
      <c r="T656" s="6"/>
      <c r="U656" s="6"/>
    </row>
    <row r="657" spans="20:21" ht="15.75" customHeight="1">
      <c r="T657" s="6"/>
      <c r="U657" s="6"/>
    </row>
    <row r="658" spans="20:21" ht="15.75" customHeight="1">
      <c r="T658" s="6"/>
      <c r="U658" s="6"/>
    </row>
    <row r="659" spans="20:21" ht="15.75" customHeight="1">
      <c r="T659" s="6"/>
      <c r="U659" s="6"/>
    </row>
    <row r="660" spans="20:21" ht="15.75" customHeight="1">
      <c r="T660" s="6"/>
      <c r="U660" s="6"/>
    </row>
    <row r="661" spans="20:21" ht="15.75" customHeight="1">
      <c r="T661" s="6"/>
      <c r="U661" s="6"/>
    </row>
    <row r="662" spans="20:21" ht="15.75" customHeight="1">
      <c r="T662" s="6"/>
      <c r="U662" s="6"/>
    </row>
    <row r="663" spans="20:21" ht="15.75" customHeight="1">
      <c r="T663" s="6"/>
      <c r="U663" s="6"/>
    </row>
    <row r="664" spans="20:21" ht="15.75" customHeight="1">
      <c r="T664" s="6"/>
      <c r="U664" s="6"/>
    </row>
    <row r="665" spans="20:21" ht="15.75" customHeight="1">
      <c r="T665" s="6"/>
      <c r="U665" s="6"/>
    </row>
    <row r="666" spans="20:21" ht="15.75" customHeight="1">
      <c r="T666" s="6"/>
      <c r="U666" s="6"/>
    </row>
    <row r="667" spans="20:21" ht="15.75" customHeight="1">
      <c r="T667" s="6"/>
      <c r="U667" s="6"/>
    </row>
    <row r="668" spans="20:21" ht="15.75" customHeight="1">
      <c r="T668" s="6"/>
      <c r="U668" s="6"/>
    </row>
    <row r="669" spans="20:21" ht="15.75" customHeight="1">
      <c r="T669" s="6"/>
      <c r="U669" s="6"/>
    </row>
    <row r="670" spans="20:21" ht="15.75" customHeight="1">
      <c r="T670" s="6"/>
      <c r="U670" s="6"/>
    </row>
    <row r="671" spans="20:21" ht="15.75" customHeight="1">
      <c r="T671" s="6"/>
      <c r="U671" s="6"/>
    </row>
    <row r="672" spans="20:21" ht="15.75" customHeight="1">
      <c r="T672" s="6"/>
      <c r="U672" s="6"/>
    </row>
    <row r="673" spans="20:21" ht="15.75" customHeight="1">
      <c r="T673" s="6"/>
      <c r="U673" s="6"/>
    </row>
    <row r="674" spans="20:21" ht="15.75" customHeight="1">
      <c r="T674" s="6"/>
      <c r="U674" s="6"/>
    </row>
    <row r="675" spans="20:21" ht="15.75" customHeight="1">
      <c r="T675" s="6"/>
      <c r="U675" s="6"/>
    </row>
    <row r="676" spans="20:21" ht="15.75" customHeight="1">
      <c r="T676" s="6"/>
      <c r="U676" s="6"/>
    </row>
    <row r="677" spans="20:21" ht="15.75" customHeight="1">
      <c r="T677" s="6"/>
      <c r="U677" s="6"/>
    </row>
    <row r="678" spans="20:21" ht="15.75" customHeight="1">
      <c r="T678" s="6"/>
      <c r="U678" s="6"/>
    </row>
    <row r="679" spans="20:21" ht="15.75" customHeight="1">
      <c r="T679" s="6"/>
      <c r="U679" s="6"/>
    </row>
    <row r="680" spans="20:21" ht="15.75" customHeight="1">
      <c r="T680" s="6"/>
      <c r="U680" s="6"/>
    </row>
    <row r="681" spans="20:21" ht="15.75" customHeight="1">
      <c r="T681" s="6"/>
      <c r="U681" s="6"/>
    </row>
    <row r="682" spans="20:21" ht="15.75" customHeight="1">
      <c r="T682" s="6"/>
      <c r="U682" s="6"/>
    </row>
    <row r="683" spans="20:21" ht="15.75" customHeight="1">
      <c r="T683" s="6"/>
      <c r="U683" s="6"/>
    </row>
    <row r="684" spans="20:21" ht="15.75" customHeight="1">
      <c r="T684" s="6"/>
      <c r="U684" s="6"/>
    </row>
    <row r="685" spans="20:21" ht="15.75" customHeight="1">
      <c r="T685" s="6"/>
      <c r="U685" s="6"/>
    </row>
    <row r="686" spans="20:21" ht="15.75" customHeight="1">
      <c r="T686" s="6"/>
      <c r="U686" s="6"/>
    </row>
    <row r="687" spans="20:21" ht="15.75" customHeight="1">
      <c r="T687" s="6"/>
      <c r="U687" s="6"/>
    </row>
    <row r="688" spans="20:21" ht="15.75" customHeight="1">
      <c r="T688" s="6"/>
      <c r="U688" s="6"/>
    </row>
    <row r="689" spans="20:21" ht="15.75" customHeight="1">
      <c r="T689" s="6"/>
      <c r="U689" s="6"/>
    </row>
    <row r="690" spans="20:21" ht="15.75" customHeight="1">
      <c r="T690" s="6"/>
      <c r="U690" s="6"/>
    </row>
    <row r="691" spans="20:21" ht="15.75" customHeight="1">
      <c r="T691" s="6"/>
      <c r="U691" s="6"/>
    </row>
    <row r="692" spans="20:21" ht="15.75" customHeight="1">
      <c r="T692" s="6"/>
      <c r="U692" s="6"/>
    </row>
    <row r="693" spans="20:21" ht="15.75" customHeight="1">
      <c r="T693" s="6"/>
      <c r="U693" s="6"/>
    </row>
    <row r="694" spans="20:21" ht="15.75" customHeight="1">
      <c r="T694" s="6"/>
      <c r="U694" s="6"/>
    </row>
    <row r="695" spans="20:21" ht="15.75" customHeight="1">
      <c r="T695" s="6"/>
      <c r="U695" s="6"/>
    </row>
    <row r="696" spans="20:21" ht="15.75" customHeight="1">
      <c r="T696" s="6"/>
      <c r="U696" s="6"/>
    </row>
    <row r="697" spans="20:21" ht="15.75" customHeight="1">
      <c r="T697" s="6"/>
      <c r="U697" s="6"/>
    </row>
    <row r="698" spans="20:21" ht="15.75" customHeight="1">
      <c r="T698" s="6"/>
      <c r="U698" s="6"/>
    </row>
    <row r="699" spans="20:21" ht="15.75" customHeight="1">
      <c r="T699" s="6"/>
      <c r="U699" s="6"/>
    </row>
    <row r="700" spans="20:21" ht="15.75" customHeight="1">
      <c r="T700" s="6"/>
      <c r="U700" s="6"/>
    </row>
    <row r="701" spans="20:21" ht="15.75" customHeight="1">
      <c r="T701" s="6"/>
      <c r="U701" s="6"/>
    </row>
    <row r="702" spans="20:21" ht="15.75" customHeight="1">
      <c r="T702" s="6"/>
      <c r="U702" s="6"/>
    </row>
    <row r="703" spans="20:21" ht="15.75" customHeight="1">
      <c r="T703" s="6"/>
      <c r="U703" s="6"/>
    </row>
    <row r="704" spans="20:21" ht="15.75" customHeight="1">
      <c r="T704" s="6"/>
      <c r="U704" s="6"/>
    </row>
    <row r="705" spans="20:21" ht="15.75" customHeight="1">
      <c r="T705" s="6"/>
      <c r="U705" s="6"/>
    </row>
    <row r="706" spans="20:21" ht="15.75" customHeight="1">
      <c r="T706" s="6"/>
      <c r="U706" s="6"/>
    </row>
    <row r="707" spans="20:21" ht="15.75" customHeight="1">
      <c r="T707" s="6"/>
      <c r="U707" s="6"/>
    </row>
    <row r="708" spans="20:21" ht="15.75" customHeight="1">
      <c r="T708" s="6"/>
      <c r="U708" s="6"/>
    </row>
    <row r="709" spans="20:21" ht="15.75" customHeight="1">
      <c r="T709" s="6"/>
      <c r="U709" s="6"/>
    </row>
    <row r="710" spans="20:21" ht="15.75" customHeight="1">
      <c r="T710" s="6"/>
      <c r="U710" s="6"/>
    </row>
    <row r="711" spans="20:21" ht="15.75" customHeight="1">
      <c r="T711" s="6"/>
      <c r="U711" s="6"/>
    </row>
    <row r="712" spans="20:21" ht="15.75" customHeight="1">
      <c r="T712" s="6"/>
      <c r="U712" s="6"/>
    </row>
    <row r="713" spans="20:21" ht="15.75" customHeight="1">
      <c r="T713" s="6"/>
      <c r="U713" s="6"/>
    </row>
    <row r="714" spans="20:21" ht="15.75" customHeight="1">
      <c r="T714" s="6"/>
      <c r="U714" s="6"/>
    </row>
    <row r="715" spans="20:21" ht="15.75" customHeight="1">
      <c r="T715" s="6"/>
      <c r="U715" s="6"/>
    </row>
    <row r="716" spans="20:21" ht="15.75" customHeight="1">
      <c r="T716" s="6"/>
      <c r="U716" s="6"/>
    </row>
    <row r="717" spans="20:21" ht="15.75" customHeight="1">
      <c r="T717" s="6"/>
      <c r="U717" s="6"/>
    </row>
    <row r="718" spans="20:21" ht="15.75" customHeight="1">
      <c r="T718" s="6"/>
      <c r="U718" s="6"/>
    </row>
    <row r="719" spans="20:21" ht="15.75" customHeight="1">
      <c r="T719" s="6"/>
      <c r="U719" s="6"/>
    </row>
    <row r="720" spans="20:21" ht="15.75" customHeight="1">
      <c r="T720" s="6"/>
      <c r="U720" s="6"/>
    </row>
    <row r="721" spans="20:21" ht="15.75" customHeight="1">
      <c r="T721" s="6"/>
      <c r="U721" s="6"/>
    </row>
    <row r="722" spans="20:21" ht="15.75" customHeight="1">
      <c r="T722" s="6"/>
      <c r="U722" s="6"/>
    </row>
    <row r="723" spans="20:21" ht="15.75" customHeight="1">
      <c r="T723" s="6"/>
      <c r="U723" s="6"/>
    </row>
    <row r="724" spans="20:21" ht="15.75" customHeight="1">
      <c r="T724" s="6"/>
      <c r="U724" s="6"/>
    </row>
    <row r="725" spans="20:21" ht="15.75" customHeight="1">
      <c r="T725" s="6"/>
      <c r="U725" s="6"/>
    </row>
    <row r="726" spans="20:21" ht="15.75" customHeight="1">
      <c r="T726" s="6"/>
      <c r="U726" s="6"/>
    </row>
    <row r="727" spans="20:21" ht="15.75" customHeight="1">
      <c r="T727" s="6"/>
      <c r="U727" s="6"/>
    </row>
    <row r="728" spans="20:21" ht="15.75" customHeight="1">
      <c r="T728" s="6"/>
      <c r="U728" s="6"/>
    </row>
    <row r="729" spans="20:21" ht="15.75" customHeight="1">
      <c r="T729" s="6"/>
      <c r="U729" s="6"/>
    </row>
    <row r="730" spans="20:21" ht="15.75" customHeight="1">
      <c r="T730" s="6"/>
      <c r="U730" s="6"/>
    </row>
    <row r="731" spans="20:21" ht="15.75" customHeight="1">
      <c r="T731" s="6"/>
      <c r="U731" s="6"/>
    </row>
    <row r="732" spans="20:21" ht="15.75" customHeight="1">
      <c r="T732" s="6"/>
      <c r="U732" s="6"/>
    </row>
    <row r="733" spans="20:21" ht="15.75" customHeight="1">
      <c r="T733" s="6"/>
      <c r="U733" s="6"/>
    </row>
    <row r="734" spans="20:21" ht="15.75" customHeight="1">
      <c r="T734" s="6"/>
      <c r="U734" s="6"/>
    </row>
    <row r="735" spans="20:21" ht="15.75" customHeight="1">
      <c r="T735" s="6"/>
      <c r="U735" s="6"/>
    </row>
    <row r="736" spans="20:21" ht="15.75" customHeight="1">
      <c r="T736" s="6"/>
      <c r="U736" s="6"/>
    </row>
    <row r="737" spans="20:21" ht="15.75" customHeight="1">
      <c r="T737" s="6"/>
      <c r="U737" s="6"/>
    </row>
    <row r="738" spans="20:21" ht="15.75" customHeight="1">
      <c r="T738" s="6"/>
      <c r="U738" s="6"/>
    </row>
    <row r="739" spans="20:21" ht="15.75" customHeight="1">
      <c r="T739" s="6"/>
      <c r="U739" s="6"/>
    </row>
    <row r="740" spans="20:21" ht="15.75" customHeight="1">
      <c r="T740" s="6"/>
      <c r="U740" s="6"/>
    </row>
    <row r="741" spans="20:21" ht="15.75" customHeight="1">
      <c r="T741" s="6"/>
      <c r="U741" s="6"/>
    </row>
    <row r="742" spans="20:21" ht="15.75" customHeight="1">
      <c r="T742" s="6"/>
      <c r="U742" s="6"/>
    </row>
    <row r="743" spans="20:21" ht="15.75" customHeight="1">
      <c r="T743" s="6"/>
      <c r="U743" s="6"/>
    </row>
    <row r="744" spans="20:21" ht="15.75" customHeight="1">
      <c r="T744" s="6"/>
      <c r="U744" s="6"/>
    </row>
    <row r="745" spans="20:21" ht="15.75" customHeight="1">
      <c r="T745" s="6"/>
      <c r="U745" s="6"/>
    </row>
    <row r="746" spans="20:21" ht="15.75" customHeight="1">
      <c r="T746" s="6"/>
      <c r="U746" s="6"/>
    </row>
    <row r="747" spans="20:21" ht="15.75" customHeight="1">
      <c r="T747" s="6"/>
      <c r="U747" s="6"/>
    </row>
    <row r="748" spans="20:21" ht="15.75" customHeight="1">
      <c r="T748" s="6"/>
      <c r="U748" s="6"/>
    </row>
    <row r="749" spans="20:21" ht="15.75" customHeight="1">
      <c r="T749" s="6"/>
      <c r="U749" s="6"/>
    </row>
    <row r="750" spans="20:21" ht="15.75" customHeight="1">
      <c r="T750" s="6"/>
      <c r="U750" s="6"/>
    </row>
    <row r="751" spans="20:21" ht="15.75" customHeight="1">
      <c r="T751" s="6"/>
      <c r="U751" s="6"/>
    </row>
    <row r="752" spans="20:21" ht="15.75" customHeight="1">
      <c r="T752" s="6"/>
      <c r="U752" s="6"/>
    </row>
    <row r="753" spans="20:21" ht="15.75" customHeight="1">
      <c r="T753" s="6"/>
      <c r="U753" s="6"/>
    </row>
    <row r="754" spans="20:21" ht="15.75" customHeight="1">
      <c r="T754" s="6"/>
      <c r="U754" s="6"/>
    </row>
    <row r="755" spans="20:21" ht="15.75" customHeight="1">
      <c r="T755" s="6"/>
      <c r="U755" s="6"/>
    </row>
    <row r="756" spans="20:21" ht="15.75" customHeight="1">
      <c r="T756" s="6"/>
      <c r="U756" s="6"/>
    </row>
    <row r="757" spans="20:21" ht="15.75" customHeight="1">
      <c r="T757" s="6"/>
      <c r="U757" s="6"/>
    </row>
    <row r="758" spans="20:21" ht="15.75" customHeight="1">
      <c r="T758" s="6"/>
      <c r="U758" s="6"/>
    </row>
    <row r="759" spans="20:21" ht="15.75" customHeight="1">
      <c r="T759" s="6"/>
      <c r="U759" s="6"/>
    </row>
    <row r="760" spans="20:21" ht="15.75" customHeight="1">
      <c r="T760" s="6"/>
      <c r="U760" s="6"/>
    </row>
    <row r="761" spans="20:21" ht="15.75" customHeight="1">
      <c r="T761" s="6"/>
      <c r="U761" s="6"/>
    </row>
    <row r="762" spans="20:21" ht="15.75" customHeight="1">
      <c r="T762" s="6"/>
      <c r="U762" s="6"/>
    </row>
    <row r="763" spans="20:21" ht="15.75" customHeight="1">
      <c r="T763" s="6"/>
      <c r="U763" s="6"/>
    </row>
    <row r="764" spans="20:21" ht="15.75" customHeight="1">
      <c r="T764" s="6"/>
      <c r="U764" s="6"/>
    </row>
    <row r="765" spans="20:21" ht="15.75" customHeight="1">
      <c r="T765" s="6"/>
      <c r="U765" s="6"/>
    </row>
    <row r="766" spans="20:21" ht="15.75" customHeight="1">
      <c r="T766" s="6"/>
      <c r="U766" s="6"/>
    </row>
    <row r="767" spans="20:21" ht="15.75" customHeight="1">
      <c r="T767" s="6"/>
      <c r="U767" s="6"/>
    </row>
    <row r="768" spans="20:21" ht="15.75" customHeight="1">
      <c r="T768" s="6"/>
      <c r="U768" s="6"/>
    </row>
    <row r="769" spans="20:21" ht="15.75" customHeight="1">
      <c r="T769" s="6"/>
      <c r="U769" s="6"/>
    </row>
    <row r="770" spans="20:21" ht="15.75" customHeight="1">
      <c r="T770" s="6"/>
      <c r="U770" s="6"/>
    </row>
    <row r="771" spans="20:21" ht="15.75" customHeight="1">
      <c r="T771" s="6"/>
      <c r="U771" s="6"/>
    </row>
    <row r="772" spans="20:21" ht="15.75" customHeight="1">
      <c r="T772" s="6"/>
      <c r="U772" s="6"/>
    </row>
    <row r="773" spans="20:21" ht="15.75" customHeight="1">
      <c r="T773" s="6"/>
      <c r="U773" s="6"/>
    </row>
    <row r="774" spans="20:21" ht="15.75" customHeight="1">
      <c r="T774" s="6"/>
      <c r="U774" s="6"/>
    </row>
    <row r="775" spans="20:21" ht="15.75" customHeight="1">
      <c r="T775" s="6"/>
      <c r="U775" s="6"/>
    </row>
    <row r="776" spans="20:21" ht="15.75" customHeight="1">
      <c r="T776" s="6"/>
      <c r="U776" s="6"/>
    </row>
    <row r="777" spans="20:21" ht="15.75" customHeight="1">
      <c r="T777" s="6"/>
      <c r="U777" s="6"/>
    </row>
    <row r="778" spans="20:21" ht="15.75" customHeight="1">
      <c r="T778" s="6"/>
      <c r="U778" s="6"/>
    </row>
    <row r="779" spans="20:21" ht="15.75" customHeight="1">
      <c r="T779" s="6"/>
      <c r="U779" s="6"/>
    </row>
    <row r="780" spans="20:21" ht="15.75" customHeight="1">
      <c r="T780" s="6"/>
      <c r="U780" s="6"/>
    </row>
  </sheetData>
  <mergeCells count="48">
    <mergeCell ref="R91:S91"/>
    <mergeCell ref="D91:F91"/>
    <mergeCell ref="G91:I91"/>
    <mergeCell ref="J91:L91"/>
    <mergeCell ref="M91:N91"/>
    <mergeCell ref="O91:Q91"/>
    <mergeCell ref="R3:S3"/>
    <mergeCell ref="D3:F3"/>
    <mergeCell ref="G3:I3"/>
    <mergeCell ref="J3:L3"/>
    <mergeCell ref="M3:N3"/>
    <mergeCell ref="O3:Q3"/>
    <mergeCell ref="R369:S369"/>
    <mergeCell ref="R171:S171"/>
    <mergeCell ref="D171:F171"/>
    <mergeCell ref="G171:I171"/>
    <mergeCell ref="O171:Q171"/>
    <mergeCell ref="M369:N369"/>
    <mergeCell ref="O369:Q369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J171:L171"/>
    <mergeCell ref="D434:F434"/>
    <mergeCell ref="G434:I434"/>
    <mergeCell ref="J434:L434"/>
    <mergeCell ref="M434:N434"/>
    <mergeCell ref="D369:F369"/>
    <mergeCell ref="G369:I369"/>
    <mergeCell ref="J369:L369"/>
    <mergeCell ref="M171:N171"/>
    <mergeCell ref="O434:Q434"/>
    <mergeCell ref="AJ491:AL491"/>
    <mergeCell ref="AM491:AO491"/>
    <mergeCell ref="R434:S434"/>
    <mergeCell ref="X491:Z491"/>
    <mergeCell ref="AA491:AC491"/>
    <mergeCell ref="AD491:AF491"/>
    <mergeCell ref="AG491:AI491"/>
  </mergeCells>
  <conditionalFormatting sqref="D113 H180:L181 I184:L185">
    <cfRule type="expression" dxfId="168" priority="1" stopIfTrue="1">
      <formula>"esterreur(reference)"</formula>
    </cfRule>
  </conditionalFormatting>
  <conditionalFormatting sqref="D246:D255">
    <cfRule type="expression" dxfId="167" priority="2" stopIfTrue="1">
      <formula>"esterreur(reference)"</formula>
    </cfRule>
  </conditionalFormatting>
  <conditionalFormatting sqref="D487">
    <cfRule type="expression" dxfId="166" priority="3" stopIfTrue="1">
      <formula>"esterreur(reference)"</formula>
    </cfRule>
  </conditionalFormatting>
  <conditionalFormatting sqref="D186:E192">
    <cfRule type="expression" dxfId="165" priority="4" stopIfTrue="1">
      <formula>"esterreur(reference)"</formula>
    </cfRule>
  </conditionalFormatting>
  <conditionalFormatting sqref="E260">
    <cfRule type="expression" dxfId="164" priority="5" stopIfTrue="1">
      <formula>"esterreur(reference)"</formula>
    </cfRule>
  </conditionalFormatting>
  <conditionalFormatting sqref="F5">
    <cfRule type="expression" dxfId="163" priority="6" stopIfTrue="1">
      <formula>"esterreur(reference)"</formula>
    </cfRule>
  </conditionalFormatting>
  <conditionalFormatting sqref="F84">
    <cfRule type="expression" dxfId="162" priority="7" stopIfTrue="1">
      <formula>"esterreur(reference)"</formula>
    </cfRule>
  </conditionalFormatting>
  <conditionalFormatting sqref="F102">
    <cfRule type="expression" dxfId="161" priority="8" stopIfTrue="1">
      <formula>"esterreur(reference)"</formula>
    </cfRule>
  </conditionalFormatting>
  <conditionalFormatting sqref="F258">
    <cfRule type="expression" dxfId="160" priority="9" stopIfTrue="1">
      <formula>"esterreur(reference)"</formula>
    </cfRule>
  </conditionalFormatting>
  <conditionalFormatting sqref="G31:G32">
    <cfRule type="expression" dxfId="159" priority="10" stopIfTrue="1">
      <formula>"esterreur(reference)"</formula>
    </cfRule>
  </conditionalFormatting>
  <conditionalFormatting sqref="G113:G114">
    <cfRule type="expression" dxfId="158" priority="11" stopIfTrue="1">
      <formula>"esterreur(reference)"</formula>
    </cfRule>
  </conditionalFormatting>
  <conditionalFormatting sqref="G186:G187">
    <cfRule type="expression" dxfId="157" priority="12" stopIfTrue="1">
      <formula>"esterreur(reference)"</formula>
    </cfRule>
  </conditionalFormatting>
  <conditionalFormatting sqref="G246:G255">
    <cfRule type="expression" dxfId="156" priority="13" stopIfTrue="1">
      <formula>"esterreur(reference)"</formula>
    </cfRule>
  </conditionalFormatting>
  <conditionalFormatting sqref="H25:H26 H28:H72">
    <cfRule type="expression" dxfId="155" priority="14" stopIfTrue="1">
      <formula>"esterreur(reference)"</formula>
    </cfRule>
  </conditionalFormatting>
  <conditionalFormatting sqref="H74">
    <cfRule type="expression" dxfId="154" priority="15" stopIfTrue="1">
      <formula>"esterreur(reference)"</formula>
    </cfRule>
  </conditionalFormatting>
  <conditionalFormatting sqref="H83">
    <cfRule type="expression" dxfId="153" priority="16" stopIfTrue="1">
      <formula>"esterreur(reference)"</formula>
    </cfRule>
  </conditionalFormatting>
  <conditionalFormatting sqref="H85">
    <cfRule type="expression" dxfId="152" priority="17" stopIfTrue="1">
      <formula>"esterreur(reference)"</formula>
    </cfRule>
  </conditionalFormatting>
  <conditionalFormatting sqref="H110:H154">
    <cfRule type="expression" dxfId="151" priority="18" stopIfTrue="1">
      <formula>"esterreur(reference)"</formula>
    </cfRule>
  </conditionalFormatting>
  <conditionalFormatting sqref="H156:H158">
    <cfRule type="expression" dxfId="150" priority="19" stopIfTrue="1">
      <formula>"esterreur(reference)"</formula>
    </cfRule>
  </conditionalFormatting>
  <conditionalFormatting sqref="H164">
    <cfRule type="expression" dxfId="149" priority="20" stopIfTrue="1">
      <formula>"esterreur(reference)"</formula>
    </cfRule>
  </conditionalFormatting>
  <conditionalFormatting sqref="H166">
    <cfRule type="expression" dxfId="148" priority="21" stopIfTrue="1">
      <formula>"esterreur(reference)"</formula>
    </cfRule>
  </conditionalFormatting>
  <conditionalFormatting sqref="H183:H227">
    <cfRule type="expression" dxfId="147" priority="22" stopIfTrue="1">
      <formula>"esterreur(reference)"</formula>
    </cfRule>
  </conditionalFormatting>
  <conditionalFormatting sqref="H229:H231">
    <cfRule type="expression" dxfId="146" priority="23" stopIfTrue="1">
      <formula>"esterreur(reference)"</formula>
    </cfRule>
  </conditionalFormatting>
  <conditionalFormatting sqref="H237">
    <cfRule type="expression" dxfId="145" priority="24" stopIfTrue="1">
      <formula>"esterreur(reference)"</formula>
    </cfRule>
  </conditionalFormatting>
  <conditionalFormatting sqref="H239">
    <cfRule type="expression" dxfId="144" priority="25" stopIfTrue="1">
      <formula>"esterreur(reference)"</formula>
    </cfRule>
  </conditionalFormatting>
  <conditionalFormatting sqref="H269">
    <cfRule type="expression" dxfId="143" priority="26" stopIfTrue="1">
      <formula>"esterreur(reference)"</formula>
    </cfRule>
  </conditionalFormatting>
  <conditionalFormatting sqref="H272:H303">
    <cfRule type="expression" dxfId="142" priority="27" stopIfTrue="1">
      <formula>"esterreur(reference)"</formula>
    </cfRule>
  </conditionalFormatting>
  <conditionalFormatting sqref="H305">
    <cfRule type="expression" dxfId="141" priority="28" stopIfTrue="1">
      <formula>"esterreur(reference)"</formula>
    </cfRule>
  </conditionalFormatting>
  <conditionalFormatting sqref="H307">
    <cfRule type="expression" dxfId="140" priority="29" stopIfTrue="1">
      <formula>"esterreur(reference)"</formula>
    </cfRule>
  </conditionalFormatting>
  <conditionalFormatting sqref="H327">
    <cfRule type="expression" dxfId="139" priority="30" stopIfTrue="1">
      <formula>"esterreur(reference)"</formula>
    </cfRule>
  </conditionalFormatting>
  <conditionalFormatting sqref="H330:H361">
    <cfRule type="expression" dxfId="138" priority="31" stopIfTrue="1">
      <formula>"esterreur(reference)"</formula>
    </cfRule>
  </conditionalFormatting>
  <conditionalFormatting sqref="H363">
    <cfRule type="expression" dxfId="137" priority="32" stopIfTrue="1">
      <formula>"esterreur(reference)"</formula>
    </cfRule>
  </conditionalFormatting>
  <conditionalFormatting sqref="H365">
    <cfRule type="expression" dxfId="136" priority="33" stopIfTrue="1">
      <formula>"esterreur(reference)"</formula>
    </cfRule>
  </conditionalFormatting>
  <conditionalFormatting sqref="H391">
    <cfRule type="expression" dxfId="135" priority="34" stopIfTrue="1">
      <formula>"esterreur(reference)"</formula>
    </cfRule>
  </conditionalFormatting>
  <conditionalFormatting sqref="H394:H425">
    <cfRule type="expression" dxfId="134" priority="35" stopIfTrue="1">
      <formula>"esterreur(reference)"</formula>
    </cfRule>
  </conditionalFormatting>
  <conditionalFormatting sqref="H427">
    <cfRule type="expression" dxfId="133" priority="36" stopIfTrue="1">
      <formula>"esterreur(reference)"</formula>
    </cfRule>
  </conditionalFormatting>
  <conditionalFormatting sqref="H429:H431">
    <cfRule type="expression" dxfId="132" priority="37" stopIfTrue="1">
      <formula>"esterreur(reference)"</formula>
    </cfRule>
  </conditionalFormatting>
  <conditionalFormatting sqref="H449">
    <cfRule type="expression" dxfId="131" priority="38" stopIfTrue="1">
      <formula>"esterreur(reference)"</formula>
    </cfRule>
  </conditionalFormatting>
  <conditionalFormatting sqref="H452:H482">
    <cfRule type="expression" dxfId="130" priority="39" stopIfTrue="1">
      <formula>"esterreur(reference)"</formula>
    </cfRule>
  </conditionalFormatting>
  <conditionalFormatting sqref="H484">
    <cfRule type="expression" dxfId="129" priority="40" stopIfTrue="1">
      <formula>"esterreur(reference)"</formula>
    </cfRule>
  </conditionalFormatting>
  <conditionalFormatting sqref="H486:H487">
    <cfRule type="expression" dxfId="128" priority="41" stopIfTrue="1">
      <formula>"esterreur(reference)"</formula>
    </cfRule>
  </conditionalFormatting>
  <conditionalFormatting sqref="H433:I433 K433:L433 J433:J434">
    <cfRule type="expression" dxfId="127" priority="42" stopIfTrue="1">
      <formula>"esterreur(reference)"</formula>
    </cfRule>
  </conditionalFormatting>
  <conditionalFormatting sqref="H317:J317">
    <cfRule type="expression" dxfId="126" priority="43" stopIfTrue="1">
      <formula>"esterreur(reference)"</formula>
    </cfRule>
  </conditionalFormatting>
  <conditionalFormatting sqref="H439:J439">
    <cfRule type="expression" dxfId="125" priority="44" stopIfTrue="1">
      <formula>"esterreur(reference)"</formula>
    </cfRule>
  </conditionalFormatting>
  <conditionalFormatting sqref="H435:L436">
    <cfRule type="expression" dxfId="124" priority="45" stopIfTrue="1">
      <formula>"esterreur(reference)"</formula>
    </cfRule>
  </conditionalFormatting>
  <conditionalFormatting sqref="H447:L447 H450:L451">
    <cfRule type="expression" dxfId="123" priority="46" stopIfTrue="1">
      <formula>"esterreur(reference)"</formula>
    </cfRule>
  </conditionalFormatting>
  <conditionalFormatting sqref="H483:L483 H485:L485">
    <cfRule type="expression" dxfId="122" priority="47" stopIfTrue="1">
      <formula>"esterreur(reference)"</formula>
    </cfRule>
  </conditionalFormatting>
  <conditionalFormatting sqref="I16:I18 I20 I24:I30">
    <cfRule type="expression" dxfId="121" priority="48" stopIfTrue="1">
      <formula>"esterreur(reference)"</formula>
    </cfRule>
  </conditionalFormatting>
  <conditionalFormatting sqref="I109:I110">
    <cfRule type="expression" dxfId="120" priority="49" stopIfTrue="1">
      <formula>"esterreur(reference)"</formula>
    </cfRule>
  </conditionalFormatting>
  <conditionalFormatting sqref="I182:I183">
    <cfRule type="expression" dxfId="119" priority="50" stopIfTrue="1">
      <formula>"esterreur(reference)"</formula>
    </cfRule>
  </conditionalFormatting>
  <conditionalFormatting sqref="I268:I269">
    <cfRule type="expression" dxfId="118" priority="51" stopIfTrue="1">
      <formula>"esterreur(reference)"</formula>
    </cfRule>
  </conditionalFormatting>
  <conditionalFormatting sqref="I326:I327">
    <cfRule type="expression" dxfId="117" priority="52" stopIfTrue="1">
      <formula>"esterreur(reference)"</formula>
    </cfRule>
  </conditionalFormatting>
  <conditionalFormatting sqref="I390:I391">
    <cfRule type="expression" dxfId="116" priority="53" stopIfTrue="1">
      <formula>"esterreur(reference)"</formula>
    </cfRule>
  </conditionalFormatting>
  <conditionalFormatting sqref="I448:I449">
    <cfRule type="expression" dxfId="115" priority="54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114" priority="55" stopIfTrue="1">
      <formula>"esterreur(reference)"</formula>
    </cfRule>
  </conditionalFormatting>
  <conditionalFormatting sqref="J16 L16:L24">
    <cfRule type="expression" dxfId="113" priority="56" stopIfTrue="1">
      <formula>"esterreur(reference)"</formula>
    </cfRule>
  </conditionalFormatting>
  <conditionalFormatting sqref="J182 J183:L183">
    <cfRule type="expression" dxfId="112" priority="57" stopIfTrue="1">
      <formula>"esterreur(reference)"</formula>
    </cfRule>
  </conditionalFormatting>
  <conditionalFormatting sqref="J326 J327:K327">
    <cfRule type="expression" dxfId="111" priority="58" stopIfTrue="1">
      <formula>"esterreur(reference)"</formula>
    </cfRule>
  </conditionalFormatting>
  <conditionalFormatting sqref="J371:J390">
    <cfRule type="expression" dxfId="110" priority="59" stopIfTrue="1">
      <formula>"esterreur(reference)"</formula>
    </cfRule>
  </conditionalFormatting>
  <conditionalFormatting sqref="J448 J449:K449">
    <cfRule type="expression" dxfId="109" priority="60" stopIfTrue="1">
      <formula>"esterreur(reference)"</formula>
    </cfRule>
  </conditionalFormatting>
  <conditionalFormatting sqref="J54:K54">
    <cfRule type="expression" dxfId="108" priority="61" stopIfTrue="1">
      <formula>"esterreur(reference)"</formula>
    </cfRule>
  </conditionalFormatting>
  <conditionalFormatting sqref="J72:K72">
    <cfRule type="expression" dxfId="107" priority="62" stopIfTrue="1">
      <formula>"esterreur(reference)"</formula>
    </cfRule>
  </conditionalFormatting>
  <conditionalFormatting sqref="J74:K74">
    <cfRule type="expression" dxfId="106" priority="63" stopIfTrue="1">
      <formula>"esterreur(reference)"</formula>
    </cfRule>
  </conditionalFormatting>
  <conditionalFormatting sqref="J85:K85">
    <cfRule type="expression" dxfId="105" priority="64" stopIfTrue="1">
      <formula>"esterreur(reference)"</formula>
    </cfRule>
  </conditionalFormatting>
  <conditionalFormatting sqref="J156:K158">
    <cfRule type="expression" dxfId="104" priority="65" stopIfTrue="1">
      <formula>"esterreur(reference)"</formula>
    </cfRule>
  </conditionalFormatting>
  <conditionalFormatting sqref="J164:K164">
    <cfRule type="expression" dxfId="103" priority="66" stopIfTrue="1">
      <formula>"esterreur(reference)"</formula>
    </cfRule>
  </conditionalFormatting>
  <conditionalFormatting sqref="J166:K166">
    <cfRule type="expression" dxfId="102" priority="67" stopIfTrue="1">
      <formula>"esterreur(reference)"</formula>
    </cfRule>
  </conditionalFormatting>
  <conditionalFormatting sqref="J229:K231">
    <cfRule type="expression" dxfId="101" priority="68" stopIfTrue="1">
      <formula>"esterreur(reference)"</formula>
    </cfRule>
  </conditionalFormatting>
  <conditionalFormatting sqref="J237:K237">
    <cfRule type="expression" dxfId="100" priority="69" stopIfTrue="1">
      <formula>"esterreur(reference)"</formula>
    </cfRule>
  </conditionalFormatting>
  <conditionalFormatting sqref="J239:K239">
    <cfRule type="expression" dxfId="99" priority="70" stopIfTrue="1">
      <formula>"esterreur(reference)"</formula>
    </cfRule>
  </conditionalFormatting>
  <conditionalFormatting sqref="J305:K305">
    <cfRule type="expression" dxfId="98" priority="71" stopIfTrue="1">
      <formula>"esterreur(reference)"</formula>
    </cfRule>
  </conditionalFormatting>
  <conditionalFormatting sqref="J307:K307">
    <cfRule type="expression" dxfId="97" priority="72" stopIfTrue="1">
      <formula>"esterreur(reference)"</formula>
    </cfRule>
  </conditionalFormatting>
  <conditionalFormatting sqref="J363:K363">
    <cfRule type="expression" dxfId="96" priority="73" stopIfTrue="1">
      <formula>"esterreur(reference)"</formula>
    </cfRule>
  </conditionalFormatting>
  <conditionalFormatting sqref="J365:K365">
    <cfRule type="expression" dxfId="95" priority="74" stopIfTrue="1">
      <formula>"esterreur(reference)"</formula>
    </cfRule>
  </conditionalFormatting>
  <conditionalFormatting sqref="J427:K427">
    <cfRule type="expression" dxfId="94" priority="75" stopIfTrue="1">
      <formula>"esterreur(reference)"</formula>
    </cfRule>
  </conditionalFormatting>
  <conditionalFormatting sqref="J429:K431">
    <cfRule type="expression" dxfId="93" priority="76" stopIfTrue="1">
      <formula>"esterreur(reference)"</formula>
    </cfRule>
  </conditionalFormatting>
  <conditionalFormatting sqref="J464:K464">
    <cfRule type="expression" dxfId="92" priority="77" stopIfTrue="1">
      <formula>"esterreur(reference)"</formula>
    </cfRule>
  </conditionalFormatting>
  <conditionalFormatting sqref="J482:K482">
    <cfRule type="expression" dxfId="91" priority="78" stopIfTrue="1">
      <formula>"esterreur(reference)"</formula>
    </cfRule>
  </conditionalFormatting>
  <conditionalFormatting sqref="J484:K484">
    <cfRule type="expression" dxfId="90" priority="79" stopIfTrue="1">
      <formula>"esterreur(reference)"</formula>
    </cfRule>
  </conditionalFormatting>
  <conditionalFormatting sqref="J486:K487">
    <cfRule type="expression" dxfId="89" priority="80" stopIfTrue="1">
      <formula>"esterreur(reference)"</formula>
    </cfRule>
  </conditionalFormatting>
  <conditionalFormatting sqref="J53:L53 J55:L71">
    <cfRule type="expression" dxfId="88" priority="81" stopIfTrue="1">
      <formula>"esterreur(reference)"</formula>
    </cfRule>
  </conditionalFormatting>
  <conditionalFormatting sqref="J465:L481">
    <cfRule type="expression" dxfId="87" priority="82" stopIfTrue="1">
      <formula>"esterreur(reference)"</formula>
    </cfRule>
  </conditionalFormatting>
  <conditionalFormatting sqref="K5">
    <cfRule type="expression" dxfId="86" priority="83" stopIfTrue="1">
      <formula>"esterreur(reference)"</formula>
    </cfRule>
  </conditionalFormatting>
  <conditionalFormatting sqref="K321:L321">
    <cfRule type="expression" dxfId="85" priority="84" stopIfTrue="1">
      <formula>"esterreur(reference)"</formula>
    </cfRule>
  </conditionalFormatting>
  <conditionalFormatting sqref="K437:L437 L439 K440:L440">
    <cfRule type="expression" dxfId="84" priority="85" stopIfTrue="1">
      <formula>"esterreur(reference)"</formula>
    </cfRule>
  </conditionalFormatting>
  <conditionalFormatting sqref="K443:L443">
    <cfRule type="expression" dxfId="83" priority="86" stopIfTrue="1">
      <formula>"esterreur(reference)"</formula>
    </cfRule>
  </conditionalFormatting>
  <conditionalFormatting sqref="L5:L14">
    <cfRule type="expression" dxfId="82" priority="87" stopIfTrue="1">
      <formula>"esterreur(reference)"</formula>
    </cfRule>
  </conditionalFormatting>
  <conditionalFormatting sqref="L75:L82">
    <cfRule type="expression" dxfId="81" priority="88" stopIfTrue="1">
      <formula>"esterreur(reference)"</formula>
    </cfRule>
  </conditionalFormatting>
  <conditionalFormatting sqref="L157:L163">
    <cfRule type="expression" dxfId="80" priority="89" stopIfTrue="1">
      <formula>"esterreur(reference)"</formula>
    </cfRule>
  </conditionalFormatting>
  <conditionalFormatting sqref="L230:L236">
    <cfRule type="expression" dxfId="79" priority="90" stopIfTrue="1">
      <formula>"esterreur(reference)"</formula>
    </cfRule>
  </conditionalFormatting>
  <conditionalFormatting sqref="L272:L283">
    <cfRule type="expression" dxfId="78" priority="91" stopIfTrue="1">
      <formula>"esterreur(reference)"</formula>
    </cfRule>
  </conditionalFormatting>
  <conditionalFormatting sqref="L285:L302">
    <cfRule type="expression" dxfId="77" priority="92" stopIfTrue="1">
      <formula>"esterreur(reference)"</formula>
    </cfRule>
  </conditionalFormatting>
  <conditionalFormatting sqref="L324">
    <cfRule type="expression" dxfId="76" priority="93" stopIfTrue="1">
      <formula>"esterreur(reference)"</formula>
    </cfRule>
  </conditionalFormatting>
  <conditionalFormatting sqref="L330:L341">
    <cfRule type="expression" dxfId="75" priority="94" stopIfTrue="1">
      <formula>"esterreur(reference)"</formula>
    </cfRule>
  </conditionalFormatting>
  <conditionalFormatting sqref="L422:L424">
    <cfRule type="expression" dxfId="74" priority="95" stopIfTrue="1">
      <formula>"esterreur(reference)"</formula>
    </cfRule>
  </conditionalFormatting>
  <conditionalFormatting sqref="L446">
    <cfRule type="expression" dxfId="73" priority="96" stopIfTrue="1">
      <formula>"esterreur(reference)"</formula>
    </cfRule>
  </conditionalFormatting>
  <conditionalFormatting sqref="M95:M97">
    <cfRule type="expression" dxfId="72" priority="97" stopIfTrue="1">
      <formula>"esterreur(reference)"</formula>
    </cfRule>
  </conditionalFormatting>
  <conditionalFormatting sqref="M177:M179">
    <cfRule type="expression" dxfId="71" priority="98" stopIfTrue="1">
      <formula>"esterreur(reference)"</formula>
    </cfRule>
  </conditionalFormatting>
  <conditionalFormatting sqref="N283">
    <cfRule type="expression" dxfId="70" priority="99" stopIfTrue="1">
      <formula>"esterreur(reference)"</formula>
    </cfRule>
  </conditionalFormatting>
  <conditionalFormatting sqref="N394:N404">
    <cfRule type="expression" dxfId="69" priority="100" stopIfTrue="1">
      <formula>"esterreur(reference)"</formula>
    </cfRule>
  </conditionalFormatting>
  <conditionalFormatting sqref="N271:Q271">
    <cfRule type="expression" dxfId="68" priority="101" stopIfTrue="1">
      <formula>"esterreur(reference)"</formula>
    </cfRule>
  </conditionalFormatting>
  <conditionalFormatting sqref="O16 Q16:Q24">
    <cfRule type="expression" dxfId="67" priority="102" stopIfTrue="1">
      <formula>"esterreur(reference)"</formula>
    </cfRule>
  </conditionalFormatting>
  <conditionalFormatting sqref="O109 O110:Q122">
    <cfRule type="expression" dxfId="66" priority="103" stopIfTrue="1">
      <formula>"esterreur(reference)"</formula>
    </cfRule>
  </conditionalFormatting>
  <conditionalFormatting sqref="O182 O183:Q195">
    <cfRule type="expression" dxfId="65" priority="104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64" priority="105" stopIfTrue="1">
      <formula>"esterreur(reference)"</formula>
    </cfRule>
  </conditionalFormatting>
  <conditionalFormatting sqref="O266:O268 O269:P269">
    <cfRule type="expression" dxfId="63" priority="106" stopIfTrue="1">
      <formula>"esterreur(reference)"</formula>
    </cfRule>
  </conditionalFormatting>
  <conditionalFormatting sqref="O317">
    <cfRule type="expression" dxfId="62" priority="107" stopIfTrue="1">
      <formula>"esterreur(reference)"</formula>
    </cfRule>
  </conditionalFormatting>
  <conditionalFormatting sqref="O326 O327:P327">
    <cfRule type="expression" dxfId="61" priority="108" stopIfTrue="1">
      <formula>"esterreur(reference)"</formula>
    </cfRule>
  </conditionalFormatting>
  <conditionalFormatting sqref="O390 O391:P391">
    <cfRule type="expression" dxfId="60" priority="109" stopIfTrue="1">
      <formula>"esterreur(reference)"</formula>
    </cfRule>
  </conditionalFormatting>
  <conditionalFormatting sqref="O439">
    <cfRule type="expression" dxfId="59" priority="110" stopIfTrue="1">
      <formula>"esterreur(reference)"</formula>
    </cfRule>
  </conditionalFormatting>
  <conditionalFormatting sqref="O448 O449:P449">
    <cfRule type="expression" dxfId="58" priority="111" stopIfTrue="1">
      <formula>"esterreur(reference)"</formula>
    </cfRule>
  </conditionalFormatting>
  <conditionalFormatting sqref="O54:P54">
    <cfRule type="expression" dxfId="57" priority="112" stopIfTrue="1">
      <formula>"esterreur(reference)"</formula>
    </cfRule>
  </conditionalFormatting>
  <conditionalFormatting sqref="O72:P72">
    <cfRule type="expression" dxfId="56" priority="113" stopIfTrue="1">
      <formula>"esterreur(reference)"</formula>
    </cfRule>
  </conditionalFormatting>
  <conditionalFormatting sqref="O74:P74">
    <cfRule type="expression" dxfId="55" priority="114" stopIfTrue="1">
      <formula>"esterreur(reference)"</formula>
    </cfRule>
  </conditionalFormatting>
  <conditionalFormatting sqref="O85:P85">
    <cfRule type="expression" dxfId="54" priority="115" stopIfTrue="1">
      <formula>"esterreur(reference)"</formula>
    </cfRule>
  </conditionalFormatting>
  <conditionalFormatting sqref="O123:P133">
    <cfRule type="expression" dxfId="53" priority="116" stopIfTrue="1">
      <formula>"esterreur(reference)"</formula>
    </cfRule>
  </conditionalFormatting>
  <conditionalFormatting sqref="O136:P136">
    <cfRule type="expression" dxfId="52" priority="117" stopIfTrue="1">
      <formula>"esterreur(reference)"</formula>
    </cfRule>
  </conditionalFormatting>
  <conditionalFormatting sqref="O154:P154">
    <cfRule type="expression" dxfId="51" priority="118" stopIfTrue="1">
      <formula>"esterreur(reference)"</formula>
    </cfRule>
  </conditionalFormatting>
  <conditionalFormatting sqref="O156:P158">
    <cfRule type="expression" dxfId="50" priority="119" stopIfTrue="1">
      <formula>"esterreur(reference)"</formula>
    </cfRule>
  </conditionalFormatting>
  <conditionalFormatting sqref="O164:P164">
    <cfRule type="expression" dxfId="49" priority="120" stopIfTrue="1">
      <formula>"esterreur(reference)"</formula>
    </cfRule>
  </conditionalFormatting>
  <conditionalFormatting sqref="O166:P166">
    <cfRule type="expression" dxfId="48" priority="121" stopIfTrue="1">
      <formula>"esterreur(reference)"</formula>
    </cfRule>
  </conditionalFormatting>
  <conditionalFormatting sqref="O196:P206">
    <cfRule type="expression" dxfId="47" priority="122" stopIfTrue="1">
      <formula>"esterreur(reference)"</formula>
    </cfRule>
  </conditionalFormatting>
  <conditionalFormatting sqref="O209:P209">
    <cfRule type="expression" dxfId="46" priority="123" stopIfTrue="1">
      <formula>"esterreur(reference)"</formula>
    </cfRule>
  </conditionalFormatting>
  <conditionalFormatting sqref="O227:P227">
    <cfRule type="expression" dxfId="45" priority="124" stopIfTrue="1">
      <formula>"esterreur(reference)"</formula>
    </cfRule>
  </conditionalFormatting>
  <conditionalFormatting sqref="O229:P231">
    <cfRule type="expression" dxfId="44" priority="125" stopIfTrue="1">
      <formula>"esterreur(reference)"</formula>
    </cfRule>
  </conditionalFormatting>
  <conditionalFormatting sqref="O237:P237">
    <cfRule type="expression" dxfId="43" priority="126" stopIfTrue="1">
      <formula>"esterreur(reference)"</formula>
    </cfRule>
  </conditionalFormatting>
  <conditionalFormatting sqref="O239:P239">
    <cfRule type="expression" dxfId="42" priority="127" stopIfTrue="1">
      <formula>"esterreur(reference)"</formula>
    </cfRule>
  </conditionalFormatting>
  <conditionalFormatting sqref="O276:P303">
    <cfRule type="expression" dxfId="41" priority="128" stopIfTrue="1">
      <formula>"esterreur(reference)"</formula>
    </cfRule>
  </conditionalFormatting>
  <conditionalFormatting sqref="O305:P305">
    <cfRule type="expression" dxfId="40" priority="129" stopIfTrue="1">
      <formula>"esterreur(reference)"</formula>
    </cfRule>
  </conditionalFormatting>
  <conditionalFormatting sqref="O307:P307">
    <cfRule type="expression" dxfId="39" priority="130" stopIfTrue="1">
      <formula>"esterreur(reference)"</formula>
    </cfRule>
  </conditionalFormatting>
  <conditionalFormatting sqref="O330:P342">
    <cfRule type="expression" dxfId="38" priority="131" stopIfTrue="1">
      <formula>"esterreur(reference)"</formula>
    </cfRule>
  </conditionalFormatting>
  <conditionalFormatting sqref="O361:P361">
    <cfRule type="expression" dxfId="37" priority="132" stopIfTrue="1">
      <formula>"esterreur(reference)"</formula>
    </cfRule>
  </conditionalFormatting>
  <conditionalFormatting sqref="O363:P363">
    <cfRule type="expression" dxfId="36" priority="133" stopIfTrue="1">
      <formula>"esterreur(reference)"</formula>
    </cfRule>
  </conditionalFormatting>
  <conditionalFormatting sqref="O365:P365">
    <cfRule type="expression" dxfId="35" priority="134" stopIfTrue="1">
      <formula>"esterreur(reference)"</formula>
    </cfRule>
  </conditionalFormatting>
  <conditionalFormatting sqref="O371:P379 O380:Q382 O383:P384 O385:Q389 O392:Q405 O428:Q428">
    <cfRule type="expression" dxfId="34" priority="135" stopIfTrue="1">
      <formula>"esterreur(reference)"</formula>
    </cfRule>
  </conditionalFormatting>
  <conditionalFormatting sqref="O406:P425">
    <cfRule type="expression" dxfId="33" priority="136" stopIfTrue="1">
      <formula>"esterreur(reference)"</formula>
    </cfRule>
  </conditionalFormatting>
  <conditionalFormatting sqref="O427:P427">
    <cfRule type="expression" dxfId="32" priority="137" stopIfTrue="1">
      <formula>"esterreur(reference)"</formula>
    </cfRule>
  </conditionalFormatting>
  <conditionalFormatting sqref="O429:P429">
    <cfRule type="expression" dxfId="31" priority="138" stopIfTrue="1">
      <formula>"esterreur(reference)"</formula>
    </cfRule>
  </conditionalFormatting>
  <conditionalFormatting sqref="O464:P464">
    <cfRule type="expression" dxfId="30" priority="139" stopIfTrue="1">
      <formula>"esterreur(reference)"</formula>
    </cfRule>
  </conditionalFormatting>
  <conditionalFormatting sqref="O482:P482">
    <cfRule type="expression" dxfId="29" priority="140" stopIfTrue="1">
      <formula>"esterreur(reference)"</formula>
    </cfRule>
  </conditionalFormatting>
  <conditionalFormatting sqref="O484:P484">
    <cfRule type="expression" dxfId="28" priority="141" stopIfTrue="1">
      <formula>"esterreur(reference)"</formula>
    </cfRule>
  </conditionalFormatting>
  <conditionalFormatting sqref="O486:P486">
    <cfRule type="expression" dxfId="27" priority="142" stopIfTrue="1">
      <formula>"esterreur(reference)"</formula>
    </cfRule>
  </conditionalFormatting>
  <conditionalFormatting sqref="O53:Q53 O55:Q71">
    <cfRule type="expression" dxfId="26" priority="143" stopIfTrue="1">
      <formula>"esterreur(reference)"</formula>
    </cfRule>
  </conditionalFormatting>
  <conditionalFormatting sqref="O180:Q181">
    <cfRule type="expression" dxfId="25" priority="144" stopIfTrue="1">
      <formula>"esterreur(reference)"</formula>
    </cfRule>
  </conditionalFormatting>
  <conditionalFormatting sqref="O436:Q436">
    <cfRule type="expression" dxfId="24" priority="145" stopIfTrue="1">
      <formula>"esterreur(reference)"</formula>
    </cfRule>
  </conditionalFormatting>
  <conditionalFormatting sqref="O447:Q447 O450:Q463 O465:Q481">
    <cfRule type="expression" dxfId="23" priority="146" stopIfTrue="1">
      <formula>"esterreur(reference)"</formula>
    </cfRule>
  </conditionalFormatting>
  <conditionalFormatting sqref="O483:Q483 O485:Q485">
    <cfRule type="expression" dxfId="22" priority="147" stopIfTrue="1">
      <formula>"esterreur(reference)"</formula>
    </cfRule>
  </conditionalFormatting>
  <conditionalFormatting sqref="P5:Q5">
    <cfRule type="expression" dxfId="21" priority="148" stopIfTrue="1">
      <formula>"esterreur(reference)"</formula>
    </cfRule>
  </conditionalFormatting>
  <conditionalFormatting sqref="P315:Q315 P317:Q318 O328:Q329 O343:Q360 O364:Q364">
    <cfRule type="expression" dxfId="20" priority="149" stopIfTrue="1">
      <formula>"esterreur(reference)"</formula>
    </cfRule>
  </conditionalFormatting>
  <conditionalFormatting sqref="P321:Q321">
    <cfRule type="expression" dxfId="19" priority="150" stopIfTrue="1">
      <formula>"esterreur(reference)"</formula>
    </cfRule>
  </conditionalFormatting>
  <conditionalFormatting sqref="P437:Q437 Q439 P440:Q440">
    <cfRule type="expression" dxfId="18" priority="151" stopIfTrue="1">
      <formula>"esterreur(reference)"</formula>
    </cfRule>
  </conditionalFormatting>
  <conditionalFormatting sqref="P443:Q443">
    <cfRule type="expression" dxfId="17" priority="152" stopIfTrue="1">
      <formula>"esterreur(reference)"</formula>
    </cfRule>
  </conditionalFormatting>
  <conditionalFormatting sqref="Q6:Q14 O13:O14 O18:O24 O25:Q26 O27 O28:Q30 O31:P36 O37 O38:P52 O83:P83 O84:Q84">
    <cfRule type="expression" dxfId="16" priority="153" stopIfTrue="1">
      <formula>"esterreur(reference)"</formula>
    </cfRule>
  </conditionalFormatting>
  <conditionalFormatting sqref="Q75:Q82">
    <cfRule type="expression" dxfId="15" priority="154" stopIfTrue="1">
      <formula>"esterreur(reference)"</formula>
    </cfRule>
  </conditionalFormatting>
  <conditionalFormatting sqref="Q157:Q163">
    <cfRule type="expression" dxfId="14" priority="155" stopIfTrue="1">
      <formula>"esterreur(reference)"</formula>
    </cfRule>
  </conditionalFormatting>
  <conditionalFormatting sqref="Q230:Q236">
    <cfRule type="expression" dxfId="13" priority="156" stopIfTrue="1">
      <formula>"esterreur(reference)"</formula>
    </cfRule>
  </conditionalFormatting>
  <conditionalFormatting sqref="Q259">
    <cfRule type="expression" dxfId="12" priority="157" stopIfTrue="1">
      <formula>"esterreur(reference)"</formula>
    </cfRule>
  </conditionalFormatting>
  <conditionalFormatting sqref="Q272:Q283">
    <cfRule type="expression" dxfId="11" priority="158" stopIfTrue="1">
      <formula>"esterreur(reference)"</formula>
    </cfRule>
  </conditionalFormatting>
  <conditionalFormatting sqref="Q285:Q302">
    <cfRule type="expression" dxfId="10" priority="159" stopIfTrue="1">
      <formula>"esterreur(reference)"</formula>
    </cfRule>
  </conditionalFormatting>
  <conditionalFormatting sqref="Q324">
    <cfRule type="expression" dxfId="9" priority="160" stopIfTrue="1">
      <formula>"esterreur(reference)"</formula>
    </cfRule>
  </conditionalFormatting>
  <conditionalFormatting sqref="Q330:Q341">
    <cfRule type="expression" dxfId="8" priority="161" stopIfTrue="1">
      <formula>"esterreur(reference)"</formula>
    </cfRule>
  </conditionalFormatting>
  <conditionalFormatting sqref="Q422:Q424">
    <cfRule type="expression" dxfId="7" priority="162" stopIfTrue="1">
      <formula>"esterreur(reference)"</formula>
    </cfRule>
  </conditionalFormatting>
  <conditionalFormatting sqref="Q446">
    <cfRule type="expression" dxfId="6" priority="163" stopIfTrue="1">
      <formula>"esterreur(reference)"</formula>
    </cfRule>
  </conditionalFormatting>
  <conditionalFormatting sqref="R388">
    <cfRule type="expression" dxfId="5" priority="164" stopIfTrue="1">
      <formula>"esterreur(reference)"</formula>
    </cfRule>
  </conditionalFormatting>
  <conditionalFormatting sqref="S260">
    <cfRule type="expression" dxfId="4" priority="165" stopIfTrue="1">
      <formula>"esterreur(reference)"</formula>
    </cfRule>
  </conditionalFormatting>
  <conditionalFormatting sqref="AG496:AI505 AH507:AI519 AH521:AI538 AH540:AI547 AH548:AH549 AH550:AI552 AH554:AI554 AH578:AI584">
    <cfRule type="cellIs" dxfId="3" priority="166" operator="greaterThan">
      <formula>0</formula>
    </cfRule>
  </conditionalFormatting>
  <conditionalFormatting sqref="AH556:AI563 AH567:AI567">
    <cfRule type="cellIs" dxfId="2" priority="167" operator="lessThan">
      <formula>0</formula>
    </cfRule>
  </conditionalFormatting>
  <conditionalFormatting sqref="AH564:AI566">
    <cfRule type="cellIs" dxfId="1" priority="168" operator="greaterThan">
      <formula>0</formula>
    </cfRule>
  </conditionalFormatting>
  <conditionalFormatting sqref="AO496:AO505">
    <cfRule type="cellIs" dxfId="0" priority="169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2026-06-17T02:50:14Z</cp:lastPrinted>
  <dcterms:created xsi:type="dcterms:W3CDTF">2021-02-12T03:12:48Z</dcterms:created>
  <dcterms:modified xsi:type="dcterms:W3CDTF">2026-10-21T20:32:09Z</dcterms:modified>
</cp:coreProperties>
</file>